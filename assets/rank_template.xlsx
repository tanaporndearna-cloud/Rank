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74" firstSheet="0" activeTab="3" autoFilterDateGrouping="1"/>
  </bookViews>
  <sheets>
    <sheet xmlns:r="http://schemas.openxmlformats.org/officeDocument/2006/relationships" name="หน้าสรุป" sheetId="1" state="visible" r:id="rId1"/>
    <sheet xmlns:r="http://schemas.openxmlformats.org/officeDocument/2006/relationships" name="Rank-สินค้าทั้งหมด " sheetId="2" state="visible" r:id="rId2"/>
    <sheet xmlns:r="http://schemas.openxmlformats.org/officeDocument/2006/relationships" name="Rank-สินค้าใหม่" sheetId="3" state="visible" r:id="rId3"/>
    <sheet xmlns:r="http://schemas.openxmlformats.org/officeDocument/2006/relationships" name="รายการที่ตัดออก" sheetId="4" state="visible" r:id="rId4"/>
  </sheets>
  <externalReferences>
    <externalReference xmlns:r="http://schemas.openxmlformats.org/officeDocument/2006/relationships" r:id="rId5"/>
  </externalReferences>
  <definedNames>
    <definedName name="_xlnm.Print_Area" localSheetId="0">'หน้าสรุป'!$A$1:$C$8,'หน้าสรุป'!$E$1:$W$7</definedName>
    <definedName name="_xlnm._FilterDatabase" localSheetId="1" hidden="1">'Rank-สินค้าทั้งหมด '!$A$11:$DK$18025</definedName>
    <definedName name="_xlnm._FilterDatabase" localSheetId="2" hidden="1">'Rank-สินค้าใหม่'!$A$9:$DK$9</definedName>
    <definedName name="_xlnm._FilterDatabase" localSheetId="3" hidden="1">'รายการที่ตัดออก'!$A$11:$DI$2373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??_-;_-@_-"/>
    <numFmt numFmtId="165" formatCode="#,##0_ ;\-#,##0\ "/>
    <numFmt numFmtId="166" formatCode="[$-107041E]mmm;@"/>
    <numFmt numFmtId="167" formatCode="[$-1041E]dd/mm/yy"/>
    <numFmt numFmtId="168" formatCode="[$-1041E]#,##0.00"/>
    <numFmt numFmtId="169" formatCode="_-* #,##0.00_-;\-* #,##0.00_-;_-* &quot;-&quot;??_-;_-@_-"/>
  </numFmts>
  <fonts count="55">
    <font>
      <name val="Calibri"/>
      <charset val="22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mbria"/>
      <charset val="222"/>
      <family val="2"/>
      <b val="1"/>
      <color theme="3"/>
      <sz val="18"/>
      <scheme val="maj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9C6500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sz val="10"/>
    </font>
    <font>
      <name val="Cambria"/>
      <charset val="222"/>
      <family val="2"/>
      <color theme="3"/>
      <sz val="18"/>
      <scheme val="major"/>
    </font>
    <font>
      <name val="Calibri"/>
      <charset val="222"/>
      <family val="2"/>
      <color rgb="FF9C5700"/>
      <sz val="11"/>
      <scheme val="minor"/>
    </font>
    <font>
      <name val="Calibri"/>
      <charset val="222"/>
      <family val="2"/>
      <sz val="8"/>
      <scheme val="minor"/>
    </font>
    <font>
      <name val="Tahoma"/>
      <family val="2"/>
      <b val="1"/>
      <color rgb="FF000000"/>
      <sz val="8"/>
    </font>
    <font>
      <name val="Calibri"/>
      <family val="2"/>
      <sz val="11"/>
    </font>
    <font>
      <name val="Tahoma"/>
      <family val="2"/>
      <color rgb="FF000000"/>
      <sz val="7.5"/>
    </font>
    <font>
      <name val="Tahoma"/>
      <family val="2"/>
      <color indexed="8"/>
      <sz val="7.5"/>
    </font>
    <font>
      <name val="Calibri"/>
      <family val="2"/>
      <b val="1"/>
      <sz val="11"/>
    </font>
    <font>
      <name val="Tahoma"/>
      <family val="2"/>
      <color rgb="FF000000"/>
      <sz val="7.5"/>
    </font>
    <font>
      <name val="Calibri"/>
      <family val="2"/>
      <sz val="11"/>
    </font>
    <font>
      <name val="Calibri"/>
      <family val="2"/>
      <b val="1"/>
      <color rgb="FF3333FF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1"/>
      <scheme val="minor"/>
    </font>
    <font>
      <name val="Tahoma"/>
      <family val="2"/>
      <b val="1"/>
      <color rgb="FF000000"/>
      <sz val="8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1"/>
      <scheme val="minor"/>
    </font>
    <font>
      <name val="Tahoma"/>
      <color rgb="FF000000"/>
      <sz val="7.5"/>
    </font>
    <font>
      <name val="Calibri"/>
      <sz val="11"/>
    </font>
    <font>
      <name val="Calibri"/>
      <charset val="222"/>
      <family val="2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DCFFB9"/>
        <bgColor indexed="64"/>
      </patternFill>
    </fill>
    <fill>
      <patternFill patternType="solid">
        <fgColor rgb="FFC2FF85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6">
    <xf numFmtId="0" fontId="8" fillId="0" borderId="0"/>
    <xf numFmtId="0" fontId="9" fillId="0" borderId="0"/>
    <xf numFmtId="0" fontId="10" fillId="0" borderId="1"/>
    <xf numFmtId="0" fontId="11" fillId="0" borderId="2"/>
    <xf numFmtId="0" fontId="12" fillId="0" borderId="3"/>
    <xf numFmtId="0" fontId="12" fillId="0" borderId="0"/>
    <xf numFmtId="0" fontId="13" fillId="2" borderId="0"/>
    <xf numFmtId="0" fontId="14" fillId="3" borderId="0"/>
    <xf numFmtId="0" fontId="15" fillId="4" borderId="0"/>
    <xf numFmtId="0" fontId="16" fillId="5" borderId="4"/>
    <xf numFmtId="0" fontId="17" fillId="6" borderId="5"/>
    <xf numFmtId="0" fontId="18" fillId="6" borderId="4"/>
    <xf numFmtId="0" fontId="19" fillId="0" borderId="6"/>
    <xf numFmtId="0" fontId="20" fillId="7" borderId="7"/>
    <xf numFmtId="0" fontId="21" fillId="0" borderId="0"/>
    <xf numFmtId="0" fontId="8" fillId="8" borderId="8"/>
    <xf numFmtId="0" fontId="22" fillId="0" borderId="0"/>
    <xf numFmtId="0" fontId="23" fillId="0" borderId="9"/>
    <xf numFmtId="0" fontId="24" fillId="9" borderId="0"/>
    <xf numFmtId="0" fontId="8" fillId="10" borderId="0"/>
    <xf numFmtId="0" fontId="8" fillId="11" borderId="0"/>
    <xf numFmtId="0" fontId="24" fillId="12" borderId="0"/>
    <xf numFmtId="0" fontId="24" fillId="13" borderId="0"/>
    <xf numFmtId="0" fontId="8" fillId="14" borderId="0"/>
    <xf numFmtId="0" fontId="8" fillId="15" borderId="0"/>
    <xf numFmtId="0" fontId="24" fillId="16" borderId="0"/>
    <xf numFmtId="0" fontId="24" fillId="17" borderId="0"/>
    <xf numFmtId="0" fontId="8" fillId="18" borderId="0"/>
    <xf numFmtId="0" fontId="8" fillId="19" borderId="0"/>
    <xf numFmtId="0" fontId="24" fillId="20" borderId="0"/>
    <xf numFmtId="0" fontId="24" fillId="21" borderId="0"/>
    <xf numFmtId="0" fontId="8" fillId="22" borderId="0"/>
    <xf numFmtId="0" fontId="8" fillId="23" borderId="0"/>
    <xf numFmtId="0" fontId="24" fillId="24" borderId="0"/>
    <xf numFmtId="0" fontId="24" fillId="25" borderId="0"/>
    <xf numFmtId="0" fontId="8" fillId="26" borderId="0"/>
    <xf numFmtId="0" fontId="8" fillId="27" borderId="0"/>
    <xf numFmtId="0" fontId="24" fillId="28" borderId="0"/>
    <xf numFmtId="0" fontId="24" fillId="29" borderId="0"/>
    <xf numFmtId="0" fontId="8" fillId="30" borderId="0"/>
    <xf numFmtId="0" fontId="8" fillId="31" borderId="0"/>
    <xf numFmtId="0" fontId="24" fillId="32" borderId="0"/>
    <xf numFmtId="0" fontId="25" fillId="0" borderId="0"/>
    <xf numFmtId="169" fontId="8" fillId="0" borderId="0"/>
    <xf numFmtId="9" fontId="8" fillId="0" borderId="0"/>
    <xf numFmtId="0" fontId="31" fillId="0" borderId="0"/>
    <xf numFmtId="0" fontId="29" fillId="0" borderId="0"/>
    <xf numFmtId="43" fontId="29" fillId="0" borderId="0"/>
    <xf numFmtId="0" fontId="8" fillId="0" borderId="0"/>
    <xf numFmtId="0" fontId="8" fillId="0" borderId="0"/>
    <xf numFmtId="0" fontId="9" fillId="0" borderId="0"/>
    <xf numFmtId="0" fontId="10" fillId="0" borderId="1"/>
    <xf numFmtId="0" fontId="11" fillId="0" borderId="2"/>
    <xf numFmtId="0" fontId="12" fillId="0" borderId="3"/>
    <xf numFmtId="0" fontId="12" fillId="0" borderId="0"/>
    <xf numFmtId="0" fontId="13" fillId="2" borderId="0"/>
    <xf numFmtId="0" fontId="14" fillId="3" borderId="0"/>
    <xf numFmtId="0" fontId="15" fillId="4" borderId="0"/>
    <xf numFmtId="0" fontId="16" fillId="5" borderId="4"/>
    <xf numFmtId="0" fontId="17" fillId="6" borderId="5"/>
    <xf numFmtId="0" fontId="18" fillId="6" borderId="4"/>
    <xf numFmtId="0" fontId="19" fillId="0" borderId="6"/>
    <xf numFmtId="0" fontId="20" fillId="7" borderId="7"/>
    <xf numFmtId="0" fontId="21" fillId="0" borderId="0"/>
    <xf numFmtId="0" fontId="8" fillId="8" borderId="8"/>
    <xf numFmtId="0" fontId="22" fillId="0" borderId="0"/>
    <xf numFmtId="0" fontId="23" fillId="0" borderId="9"/>
    <xf numFmtId="0" fontId="24" fillId="9" borderId="0"/>
    <xf numFmtId="0" fontId="8" fillId="10" borderId="0"/>
    <xf numFmtId="0" fontId="8" fillId="11" borderId="0"/>
    <xf numFmtId="0" fontId="24" fillId="12" borderId="0"/>
    <xf numFmtId="0" fontId="24" fillId="13" borderId="0"/>
    <xf numFmtId="0" fontId="8" fillId="14" borderId="0"/>
    <xf numFmtId="0" fontId="8" fillId="15" borderId="0"/>
    <xf numFmtId="0" fontId="24" fillId="16" borderId="0"/>
    <xf numFmtId="0" fontId="24" fillId="17" borderId="0"/>
    <xf numFmtId="0" fontId="8" fillId="18" borderId="0"/>
    <xf numFmtId="0" fontId="8" fillId="19" borderId="0"/>
    <xf numFmtId="0" fontId="24" fillId="20" borderId="0"/>
    <xf numFmtId="0" fontId="24" fillId="21" borderId="0"/>
    <xf numFmtId="0" fontId="8" fillId="22" borderId="0"/>
    <xf numFmtId="0" fontId="8" fillId="23" borderId="0"/>
    <xf numFmtId="0" fontId="24" fillId="24" borderId="0"/>
    <xf numFmtId="0" fontId="24" fillId="25" borderId="0"/>
    <xf numFmtId="0" fontId="8" fillId="26" borderId="0"/>
    <xf numFmtId="0" fontId="8" fillId="27" borderId="0"/>
    <xf numFmtId="0" fontId="24" fillId="28" borderId="0"/>
    <xf numFmtId="0" fontId="24" fillId="29" borderId="0"/>
    <xf numFmtId="0" fontId="8" fillId="30" borderId="0"/>
    <xf numFmtId="0" fontId="8" fillId="31" borderId="0"/>
    <xf numFmtId="0" fontId="24" fillId="32" borderId="0"/>
    <xf numFmtId="169" fontId="8" fillId="0" borderId="0"/>
    <xf numFmtId="9" fontId="8" fillId="0" borderId="0"/>
    <xf numFmtId="0" fontId="29" fillId="0" borderId="0"/>
    <xf numFmtId="43" fontId="29" fillId="0" borderId="0"/>
    <xf numFmtId="0" fontId="33" fillId="0" borderId="0"/>
    <xf numFmtId="0" fontId="34" fillId="0" borderId="0"/>
    <xf numFmtId="0" fontId="35" fillId="4" borderId="0"/>
    <xf numFmtId="0" fontId="8" fillId="12" borderId="0"/>
    <xf numFmtId="0" fontId="8" fillId="16" borderId="0"/>
    <xf numFmtId="0" fontId="8" fillId="20" borderId="0"/>
    <xf numFmtId="0" fontId="8" fillId="24" borderId="0"/>
    <xf numFmtId="0" fontId="8" fillId="28" borderId="0"/>
    <xf numFmtId="0" fontId="8" fillId="32" borderId="0"/>
    <xf numFmtId="0" fontId="8" fillId="0" borderId="0"/>
    <xf numFmtId="0" fontId="9" fillId="0" borderId="0"/>
    <xf numFmtId="0" fontId="15" fillId="4" borderId="0"/>
    <xf numFmtId="0" fontId="8" fillId="8" borderId="8"/>
    <xf numFmtId="0" fontId="24" fillId="12" borderId="0"/>
    <xf numFmtId="0" fontId="24" fillId="16" borderId="0"/>
    <xf numFmtId="0" fontId="24" fillId="20" borderId="0"/>
    <xf numFmtId="0" fontId="24" fillId="24" borderId="0"/>
    <xf numFmtId="0" fontId="24" fillId="28" borderId="0"/>
    <xf numFmtId="0" fontId="24" fillId="32" borderId="0"/>
    <xf numFmtId="169" fontId="8" fillId="0" borderId="0"/>
    <xf numFmtId="9" fontId="8" fillId="0" borderId="0"/>
    <xf numFmtId="169" fontId="29" fillId="0" borderId="0"/>
    <xf numFmtId="169" fontId="8" fillId="0" borderId="0"/>
    <xf numFmtId="169" fontId="29" fillId="0" borderId="0"/>
    <xf numFmtId="0" fontId="33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</cellStyleXfs>
  <cellXfs count="2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10" pivotButton="0" quotePrefix="0" xfId="0"/>
    <xf numFmtId="0" fontId="0" fillId="0" borderId="10" applyAlignment="1" pivotButton="0" quotePrefix="0" xfId="0">
      <alignment horizontal="center"/>
    </xf>
    <xf numFmtId="164" fontId="0" fillId="0" borderId="10" pivotButton="0" quotePrefix="0" xfId="43"/>
    <xf numFmtId="165" fontId="0" fillId="0" borderId="10" applyAlignment="1" pivotButton="0" quotePrefix="0" xfId="43">
      <alignment horizontal="center"/>
    </xf>
    <xf numFmtId="0" fontId="26" fillId="35" borderId="10" applyAlignment="1" pivotButton="0" quotePrefix="0" xfId="0">
      <alignment horizontal="center"/>
    </xf>
    <xf numFmtId="0" fontId="26" fillId="35" borderId="10" pivotButton="0" quotePrefix="0" xfId="0"/>
    <xf numFmtId="0" fontId="26" fillId="0" borderId="0" pivotButton="0" quotePrefix="0" xfId="0"/>
    <xf numFmtId="0" fontId="26" fillId="35" borderId="10" applyAlignment="1" pivotButton="0" quotePrefix="0" xfId="0">
      <alignment horizontal="center" vertical="center"/>
    </xf>
    <xf numFmtId="0" fontId="26" fillId="35" borderId="1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27" fillId="35" borderId="10" applyAlignment="1" pivotButton="0" quotePrefix="0" xfId="0">
      <alignment horizontal="center" vertical="center"/>
    </xf>
    <xf numFmtId="0" fontId="28" fillId="35" borderId="10" applyAlignment="1" pivotButton="0" quotePrefix="0" xfId="0">
      <alignment horizontal="center" vertical="center"/>
    </xf>
    <xf numFmtId="164" fontId="26" fillId="35" borderId="10" applyAlignment="1" pivotButton="0" quotePrefix="0" xfId="43">
      <alignment horizontal="center" vertical="center"/>
    </xf>
    <xf numFmtId="0" fontId="26" fillId="35" borderId="10" applyAlignment="1" pivotButton="0" quotePrefix="0" xfId="0">
      <alignment vertical="center"/>
    </xf>
    <xf numFmtId="164" fontId="28" fillId="35" borderId="10" applyAlignment="1" pivotButton="0" quotePrefix="0" xfId="43">
      <alignment wrapText="1"/>
    </xf>
    <xf numFmtId="0" fontId="30" fillId="35" borderId="10" applyAlignment="1" pivotButton="0" quotePrefix="0" xfId="0">
      <alignment horizontal="center" vertical="center" wrapText="1"/>
    </xf>
    <xf numFmtId="0" fontId="30" fillId="35" borderId="10" applyAlignment="1" pivotButton="0" quotePrefix="0" xfId="0">
      <alignment horizontal="center" vertical="center"/>
    </xf>
    <xf numFmtId="3" fontId="29" fillId="0" borderId="0" pivotButton="0" quotePrefix="0" xfId="0"/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9" fontId="0" fillId="0" borderId="0" pivotButton="0" quotePrefix="0" xfId="44"/>
    <xf numFmtId="9" fontId="0" fillId="0" borderId="0" pivotButton="0" quotePrefix="0" xfId="0"/>
    <xf numFmtId="9" fontId="0" fillId="0" borderId="0" applyAlignment="1" pivotButton="0" quotePrefix="0" xfId="44">
      <alignment horizontal="center"/>
    </xf>
    <xf numFmtId="166" fontId="26" fillId="35" borderId="10" pivotButton="0" quotePrefix="0" xfId="0"/>
    <xf numFmtId="3" fontId="29" fillId="0" borderId="10" applyAlignment="1" pivotButton="0" quotePrefix="0" xfId="0">
      <alignment horizontal="center"/>
    </xf>
    <xf numFmtId="9" fontId="0" fillId="0" borderId="10" applyAlignment="1" pivotButton="0" quotePrefix="0" xfId="44">
      <alignment horizontal="center"/>
    </xf>
    <xf numFmtId="0" fontId="37" fillId="0" borderId="14" applyAlignment="1" pivotButton="0" quotePrefix="0" xfId="0">
      <alignment vertical="top" wrapText="1" readingOrder="1"/>
    </xf>
    <xf numFmtId="0" fontId="38" fillId="0" borderId="15" applyAlignment="1" pivotButton="0" quotePrefix="0" xfId="0">
      <alignment vertical="top" wrapText="1"/>
    </xf>
    <xf numFmtId="0" fontId="38" fillId="0" borderId="16" applyAlignment="1" pivotButton="0" quotePrefix="0" xfId="0">
      <alignment vertical="top" wrapText="1"/>
    </xf>
    <xf numFmtId="0" fontId="37" fillId="0" borderId="14" applyAlignment="1" pivotButton="0" quotePrefix="0" xfId="0">
      <alignment horizontal="right" vertical="top" wrapText="1" readingOrder="1"/>
    </xf>
    <xf numFmtId="0" fontId="37" fillId="0" borderId="14" applyAlignment="1" pivotButton="0" quotePrefix="0" xfId="0">
      <alignment horizontal="center" vertical="top" wrapText="1" readingOrder="1"/>
    </xf>
    <xf numFmtId="167" fontId="38" fillId="0" borderId="15" applyAlignment="1" pivotButton="0" quotePrefix="0" xfId="0">
      <alignment vertical="top" wrapText="1"/>
    </xf>
    <xf numFmtId="0" fontId="38" fillId="0" borderId="0" applyAlignment="1" pivotButton="0" quotePrefix="0" xfId="0">
      <alignment wrapText="1"/>
    </xf>
    <xf numFmtId="0" fontId="38" fillId="0" borderId="0" pivotButton="0" quotePrefix="0" xfId="0"/>
    <xf numFmtId="167" fontId="39" fillId="0" borderId="14" applyAlignment="1" pivotButton="0" quotePrefix="0" xfId="0">
      <alignment vertical="top" wrapText="1" readingOrder="1"/>
    </xf>
    <xf numFmtId="0" fontId="39" fillId="0" borderId="14" applyAlignment="1" pivotButton="0" quotePrefix="0" xfId="0">
      <alignment vertical="top" wrapText="1" readingOrder="1"/>
    </xf>
    <xf numFmtId="168" fontId="39" fillId="0" borderId="14" applyAlignment="1" pivotButton="0" quotePrefix="0" xfId="0">
      <alignment vertical="top" wrapText="1" readingOrder="1"/>
    </xf>
    <xf numFmtId="168" fontId="39" fillId="0" borderId="14" applyAlignment="1" pivotButton="0" quotePrefix="0" xfId="0">
      <alignment horizontal="right" vertical="top" wrapText="1" readingOrder="1"/>
    </xf>
    <xf numFmtId="0" fontId="39" fillId="0" borderId="14" applyAlignment="1" pivotButton="0" quotePrefix="0" xfId="0">
      <alignment horizontal="center" vertical="top" wrapText="1" readingOrder="1"/>
    </xf>
    <xf numFmtId="0" fontId="39" fillId="0" borderId="14" applyAlignment="1" pivotButton="0" quotePrefix="0" xfId="0">
      <alignment horizontal="right" vertical="top" wrapText="1" readingOrder="1"/>
    </xf>
    <xf numFmtId="166" fontId="38" fillId="0" borderId="15" applyAlignment="1" pivotButton="0" quotePrefix="0" xfId="0">
      <alignment vertical="top" wrapText="1"/>
    </xf>
    <xf numFmtId="167" fontId="39" fillId="0" borderId="14" applyAlignment="1" pivotButton="0" quotePrefix="0" xfId="42">
      <alignment vertical="top" wrapText="1" readingOrder="1"/>
    </xf>
    <xf numFmtId="0" fontId="38" fillId="0" borderId="15" applyAlignment="1" pivotButton="0" quotePrefix="0" xfId="42">
      <alignment vertical="top" wrapText="1"/>
    </xf>
    <xf numFmtId="0" fontId="39" fillId="0" borderId="14" applyAlignment="1" pivotButton="0" quotePrefix="0" xfId="42">
      <alignment vertical="top" wrapText="1" readingOrder="1"/>
    </xf>
    <xf numFmtId="0" fontId="38" fillId="0" borderId="16" applyAlignment="1" pivotButton="0" quotePrefix="0" xfId="42">
      <alignment vertical="top" wrapText="1"/>
    </xf>
    <xf numFmtId="168" fontId="39" fillId="0" borderId="14" applyAlignment="1" pivotButton="0" quotePrefix="0" xfId="42">
      <alignment vertical="top" wrapText="1" readingOrder="1"/>
    </xf>
    <xf numFmtId="168" fontId="39" fillId="0" borderId="14" applyAlignment="1" pivotButton="0" quotePrefix="0" xfId="42">
      <alignment horizontal="right" vertical="top" wrapText="1" readingOrder="1"/>
    </xf>
    <xf numFmtId="0" fontId="39" fillId="0" borderId="14" applyAlignment="1" pivotButton="0" quotePrefix="0" xfId="42">
      <alignment horizontal="center" vertical="top" wrapText="1" readingOrder="1"/>
    </xf>
    <xf numFmtId="0" fontId="39" fillId="0" borderId="14" applyAlignment="1" pivotButton="0" quotePrefix="0" xfId="42">
      <alignment horizontal="right" vertical="top" wrapText="1" readingOrder="1"/>
    </xf>
    <xf numFmtId="167" fontId="40" fillId="0" borderId="17" applyAlignment="1" applyProtection="1" pivotButton="0" quotePrefix="0" xfId="0">
      <alignment vertical="top" wrapText="1" readingOrder="1"/>
      <protection locked="0" hidden="0"/>
    </xf>
    <xf numFmtId="0" fontId="0" fillId="0" borderId="18" applyAlignment="1" applyProtection="1" pivotButton="0" quotePrefix="0" xfId="0">
      <alignment vertical="top" wrapText="1"/>
      <protection locked="0" hidden="0"/>
    </xf>
    <xf numFmtId="0" fontId="40" fillId="0" borderId="17" applyAlignment="1" applyProtection="1" pivotButton="0" quotePrefix="0" xfId="0">
      <alignment vertical="top" wrapText="1" readingOrder="1"/>
      <protection locked="0" hidden="0"/>
    </xf>
    <xf numFmtId="0" fontId="0" fillId="0" borderId="19" applyAlignment="1" applyProtection="1" pivotButton="0" quotePrefix="0" xfId="0">
      <alignment vertical="top" wrapText="1"/>
      <protection locked="0" hidden="0"/>
    </xf>
    <xf numFmtId="168" fontId="40" fillId="0" borderId="17" applyAlignment="1" applyProtection="1" pivotButton="0" quotePrefix="0" xfId="0">
      <alignment vertical="top" wrapText="1" readingOrder="1"/>
      <protection locked="0" hidden="0"/>
    </xf>
    <xf numFmtId="168" fontId="40" fillId="0" borderId="17" applyAlignment="1" applyProtection="1" pivotButton="0" quotePrefix="0" xfId="0">
      <alignment horizontal="right" vertical="top" wrapText="1" readingOrder="1"/>
      <protection locked="0" hidden="0"/>
    </xf>
    <xf numFmtId="0" fontId="40" fillId="0" borderId="17" applyAlignment="1" applyProtection="1" pivotButton="0" quotePrefix="0" xfId="0">
      <alignment horizontal="center" vertical="top" wrapText="1" readingOrder="1"/>
      <protection locked="0" hidden="0"/>
    </xf>
    <xf numFmtId="0" fontId="40" fillId="0" borderId="17" applyAlignment="1" applyProtection="1" pivotButton="0" quotePrefix="0" xfId="0">
      <alignment horizontal="right" vertical="top" wrapText="1" readingOrder="1"/>
      <protection locked="0" hidden="0"/>
    </xf>
    <xf numFmtId="167" fontId="41" fillId="0" borderId="15" applyAlignment="1" pivotButton="0" quotePrefix="0" xfId="0">
      <alignment vertical="top" wrapText="1"/>
    </xf>
    <xf numFmtId="0" fontId="41" fillId="0" borderId="0" applyAlignment="1" pivotButton="0" quotePrefix="0" xfId="0">
      <alignment wrapText="1"/>
    </xf>
    <xf numFmtId="0" fontId="41" fillId="0" borderId="0" pivotButton="0" quotePrefix="0" xfId="0"/>
    <xf numFmtId="166" fontId="38" fillId="0" borderId="0" pivotButton="0" quotePrefix="0" xfId="0"/>
    <xf numFmtId="0" fontId="0" fillId="0" borderId="0" applyAlignment="1" pivotButton="0" quotePrefix="0" xfId="0">
      <alignment wrapText="1"/>
    </xf>
    <xf numFmtId="167" fontId="42" fillId="0" borderId="14" applyAlignment="1" pivotButton="0" quotePrefix="0" xfId="0">
      <alignment vertical="top" wrapText="1" readingOrder="1"/>
    </xf>
    <xf numFmtId="0" fontId="43" fillId="0" borderId="15" applyAlignment="1" pivotButton="0" quotePrefix="0" xfId="0">
      <alignment vertical="top" wrapText="1"/>
    </xf>
    <xf numFmtId="0" fontId="42" fillId="0" borderId="14" applyAlignment="1" pivotButton="0" quotePrefix="0" xfId="0">
      <alignment vertical="top" wrapText="1" readingOrder="1"/>
    </xf>
    <xf numFmtId="0" fontId="43" fillId="0" borderId="16" applyAlignment="1" pivotButton="0" quotePrefix="0" xfId="0">
      <alignment vertical="top" wrapText="1"/>
    </xf>
    <xf numFmtId="168" fontId="42" fillId="0" borderId="14" applyAlignment="1" pivotButton="0" quotePrefix="0" xfId="0">
      <alignment vertical="top" wrapText="1" readingOrder="1"/>
    </xf>
    <xf numFmtId="168" fontId="42" fillId="0" borderId="14" applyAlignment="1" pivotButton="0" quotePrefix="0" xfId="0">
      <alignment horizontal="right" vertical="top" wrapText="1" readingOrder="1"/>
    </xf>
    <xf numFmtId="0" fontId="42" fillId="0" borderId="14" applyAlignment="1" pivotButton="0" quotePrefix="0" xfId="0">
      <alignment horizontal="center" vertical="top" wrapText="1" readingOrder="1"/>
    </xf>
    <xf numFmtId="0" fontId="42" fillId="0" borderId="14" applyAlignment="1" pivotButton="0" quotePrefix="0" xfId="0">
      <alignment horizontal="right" vertical="top" wrapText="1" readingOrder="1"/>
    </xf>
    <xf numFmtId="0" fontId="43" fillId="0" borderId="0" pivotButton="0" quotePrefix="0" xfId="0"/>
    <xf numFmtId="167" fontId="42" fillId="0" borderId="14" applyAlignment="1" pivotButton="0" quotePrefix="0" xfId="42">
      <alignment vertical="top" wrapText="1" readingOrder="1"/>
    </xf>
    <xf numFmtId="0" fontId="43" fillId="0" borderId="15" applyAlignment="1" pivotButton="0" quotePrefix="0" xfId="42">
      <alignment vertical="top" wrapText="1"/>
    </xf>
    <xf numFmtId="0" fontId="42" fillId="0" borderId="14" applyAlignment="1" pivotButton="0" quotePrefix="0" xfId="42">
      <alignment vertical="top" wrapText="1" readingOrder="1"/>
    </xf>
    <xf numFmtId="0" fontId="43" fillId="0" borderId="16" applyAlignment="1" pivotButton="0" quotePrefix="0" xfId="42">
      <alignment vertical="top" wrapText="1"/>
    </xf>
    <xf numFmtId="168" fontId="42" fillId="0" borderId="14" applyAlignment="1" pivotButton="0" quotePrefix="0" xfId="42">
      <alignment vertical="top" wrapText="1" readingOrder="1"/>
    </xf>
    <xf numFmtId="168" fontId="42" fillId="0" borderId="14" applyAlignment="1" pivotButton="0" quotePrefix="0" xfId="42">
      <alignment horizontal="right" vertical="top" wrapText="1" readingOrder="1"/>
    </xf>
    <xf numFmtId="0" fontId="42" fillId="0" borderId="14" applyAlignment="1" pivotButton="0" quotePrefix="0" xfId="42">
      <alignment horizontal="center" vertical="top" wrapText="1" readingOrder="1"/>
    </xf>
    <xf numFmtId="0" fontId="42" fillId="0" borderId="14" applyAlignment="1" pivotButton="0" quotePrefix="0" xfId="42">
      <alignment horizontal="right" vertical="top" wrapText="1" readingOrder="1"/>
    </xf>
    <xf numFmtId="0" fontId="26" fillId="36" borderId="10" applyAlignment="1" pivotButton="0" quotePrefix="0" xfId="0">
      <alignment horizontal="center" vertical="center"/>
    </xf>
    <xf numFmtId="9" fontId="0" fillId="34" borderId="10" applyAlignment="1" pivotButton="0" quotePrefix="0" xfId="0">
      <alignment horizontal="center" vertical="center"/>
    </xf>
    <xf numFmtId="0" fontId="44" fillId="34" borderId="10" applyAlignment="1" pivotButton="0" quotePrefix="0" xfId="0">
      <alignment horizontal="center" vertical="center" wrapText="1"/>
    </xf>
    <xf numFmtId="164" fontId="44" fillId="34" borderId="10" applyAlignment="1" pivotButton="0" quotePrefix="0" xfId="43">
      <alignment vertical="center"/>
    </xf>
    <xf numFmtId="9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9" fontId="0" fillId="34" borderId="20" applyAlignment="1" pivotButton="0" quotePrefix="0" xfId="0">
      <alignment horizontal="center" vertical="center"/>
    </xf>
    <xf numFmtId="9" fontId="0" fillId="0" borderId="10" pivotButton="0" quotePrefix="0" xfId="44"/>
    <xf numFmtId="0" fontId="26" fillId="37" borderId="20" applyAlignment="1" pivotButton="0" quotePrefix="0" xfId="0">
      <alignment horizontal="center" vertical="center" wrapText="1"/>
    </xf>
    <xf numFmtId="0" fontId="26" fillId="37" borderId="20" applyAlignment="1" pivotButton="0" quotePrefix="0" xfId="0">
      <alignment horizontal="center" vertical="center"/>
    </xf>
    <xf numFmtId="0" fontId="26" fillId="38" borderId="20" applyAlignment="1" pivotButton="0" quotePrefix="0" xfId="0">
      <alignment horizontal="center" vertical="center" wrapText="1"/>
    </xf>
    <xf numFmtId="0" fontId="26" fillId="38" borderId="20" applyAlignment="1" pivotButton="0" quotePrefix="0" xfId="0">
      <alignment horizontal="center" vertical="center"/>
    </xf>
    <xf numFmtId="0" fontId="26" fillId="37" borderId="10" applyAlignment="1" pivotButton="0" quotePrefix="0" xfId="0">
      <alignment horizontal="center" vertical="center"/>
    </xf>
    <xf numFmtId="0" fontId="26" fillId="37" borderId="22" applyAlignment="1" pivotButton="0" quotePrefix="0" xfId="0">
      <alignment horizontal="center" vertical="center" wrapText="1"/>
    </xf>
    <xf numFmtId="0" fontId="26" fillId="37" borderId="22" applyAlignment="1" pivotButton="0" quotePrefix="0" xfId="0">
      <alignment horizontal="center" vertical="center"/>
    </xf>
    <xf numFmtId="0" fontId="26" fillId="38" borderId="10" applyAlignment="1" pivotButton="0" quotePrefix="0" xfId="0">
      <alignment horizontal="center" vertical="center"/>
    </xf>
    <xf numFmtId="0" fontId="26" fillId="38" borderId="22" applyAlignment="1" pivotButton="0" quotePrefix="0" xfId="0">
      <alignment horizontal="center" vertical="center" wrapText="1"/>
    </xf>
    <xf numFmtId="0" fontId="26" fillId="38" borderId="22" applyAlignment="1" pivotButton="0" quotePrefix="0" xfId="0">
      <alignment horizontal="center" vertical="center"/>
    </xf>
    <xf numFmtId="0" fontId="0" fillId="34" borderId="10" applyAlignment="1" pivotButton="0" quotePrefix="0" xfId="0">
      <alignment vertical="center"/>
    </xf>
    <xf numFmtId="165" fontId="0" fillId="34" borderId="10" applyAlignment="1" pivotButton="0" quotePrefix="0" xfId="43">
      <alignment horizontal="center" vertical="center"/>
    </xf>
    <xf numFmtId="165" fontId="0" fillId="39" borderId="10" applyAlignment="1" pivotButton="0" quotePrefix="0" xfId="43">
      <alignment horizontal="center" vertical="center"/>
    </xf>
    <xf numFmtId="165" fontId="26" fillId="40" borderId="10" applyAlignment="1" pivotButton="0" quotePrefix="0" xfId="43">
      <alignment horizontal="center" vertical="center"/>
    </xf>
    <xf numFmtId="9" fontId="26" fillId="40" borderId="10" applyAlignment="1" pivotButton="0" quotePrefix="0" xfId="0">
      <alignment horizontal="center" vertical="center"/>
    </xf>
    <xf numFmtId="3" fontId="6" fillId="41" borderId="10" applyAlignment="1" pivotButton="0" quotePrefix="0" xfId="0">
      <alignment horizontal="center" vertical="center"/>
    </xf>
    <xf numFmtId="165" fontId="26" fillId="42" borderId="10" applyAlignment="1" pivotButton="0" quotePrefix="0" xfId="43">
      <alignment horizontal="center" vertical="center"/>
    </xf>
    <xf numFmtId="9" fontId="26" fillId="42" borderId="10" applyAlignment="1" pivotButton="0" quotePrefix="0" xfId="0">
      <alignment horizontal="center" vertical="center"/>
    </xf>
    <xf numFmtId="165" fontId="26" fillId="0" borderId="10" applyAlignment="1" pivotButton="0" quotePrefix="0" xfId="43">
      <alignment horizontal="center"/>
    </xf>
    <xf numFmtId="9" fontId="26" fillId="0" borderId="10" applyAlignment="1" pivotButton="0" quotePrefix="0" xfId="44">
      <alignment horizontal="center"/>
    </xf>
    <xf numFmtId="3" fontId="6" fillId="0" borderId="10" applyAlignment="1" pivotButton="0" quotePrefix="0" xfId="0">
      <alignment horizontal="center"/>
    </xf>
    <xf numFmtId="9" fontId="0" fillId="0" borderId="2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46" fillId="38" borderId="10" applyAlignment="1" pivotButton="0" quotePrefix="0" xfId="0">
      <alignment horizontal="center" vertical="center"/>
    </xf>
    <xf numFmtId="0" fontId="44" fillId="34" borderId="10" applyAlignment="1" pivotButton="0" quotePrefix="0" xfId="0">
      <alignment horizontal="center" wrapText="1"/>
    </xf>
    <xf numFmtId="9" fontId="47" fillId="34" borderId="10" applyAlignment="1" pivotButton="0" quotePrefix="0" xfId="0">
      <alignment horizontal="center" vertical="center"/>
    </xf>
    <xf numFmtId="0" fontId="47" fillId="34" borderId="10" applyAlignment="1" pivotButton="0" quotePrefix="0" xfId="0">
      <alignment vertical="center"/>
    </xf>
    <xf numFmtId="165" fontId="46" fillId="34" borderId="10" applyAlignment="1" pivotButton="0" quotePrefix="0" xfId="43">
      <alignment horizontal="center" vertical="center"/>
    </xf>
    <xf numFmtId="165" fontId="47" fillId="39" borderId="10" applyAlignment="1" pivotButton="0" quotePrefix="0" xfId="43">
      <alignment horizontal="center" vertical="center"/>
    </xf>
    <xf numFmtId="165" fontId="46" fillId="40" borderId="10" applyAlignment="1" pivotButton="0" quotePrefix="0" xfId="43">
      <alignment horizontal="center" vertical="center"/>
    </xf>
    <xf numFmtId="9" fontId="46" fillId="40" borderId="10" applyAlignment="1" pivotButton="0" quotePrefix="0" xfId="44">
      <alignment horizontal="center" vertical="center"/>
    </xf>
    <xf numFmtId="165" fontId="47" fillId="41" borderId="10" applyAlignment="1" pivotButton="0" quotePrefix="0" xfId="43">
      <alignment horizontal="center" vertical="center"/>
    </xf>
    <xf numFmtId="165" fontId="46" fillId="43" borderId="10" applyAlignment="1" pivotButton="0" quotePrefix="0" xfId="43">
      <alignment horizontal="center" vertical="center"/>
    </xf>
    <xf numFmtId="9" fontId="46" fillId="43" borderId="10" applyAlignment="1" pivotButton="0" quotePrefix="0" xfId="44">
      <alignment horizontal="center" vertical="center"/>
    </xf>
    <xf numFmtId="9" fontId="0" fillId="0" borderId="10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164" fontId="8" fillId="0" borderId="10" applyAlignment="1" pivotButton="0" quotePrefix="0" xfId="43">
      <alignment vertical="center"/>
    </xf>
    <xf numFmtId="9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center" vertical="center"/>
    </xf>
    <xf numFmtId="165" fontId="47" fillId="0" borderId="10" applyAlignment="1" pivotButton="0" quotePrefix="0" xfId="43">
      <alignment horizontal="center" vertical="center"/>
    </xf>
    <xf numFmtId="165" fontId="47" fillId="0" borderId="10" applyAlignment="1" pivotButton="0" quotePrefix="0" xfId="43">
      <alignment horizontal="center" vertical="center"/>
    </xf>
    <xf numFmtId="165" fontId="46" fillId="0" borderId="10" applyAlignment="1" pivotButton="0" quotePrefix="0" xfId="43">
      <alignment horizontal="center" vertical="center"/>
    </xf>
    <xf numFmtId="9" fontId="46" fillId="0" borderId="10" applyAlignment="1" pivotButton="0" quotePrefix="0" xfId="44">
      <alignment horizontal="center" vertical="center"/>
    </xf>
    <xf numFmtId="9" fontId="46" fillId="0" borderId="10" applyAlignment="1" pivotButton="0" quotePrefix="0" xfId="44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165" fontId="24" fillId="0" borderId="23" applyAlignment="1" pivotButton="0" quotePrefix="0" xfId="43">
      <alignment horizontal="center" vertical="center"/>
    </xf>
    <xf numFmtId="9" fontId="24" fillId="0" borderId="23" applyAlignment="1" pivotButton="0" quotePrefix="0" xfId="44">
      <alignment horizontal="center" vertical="center"/>
    </xf>
    <xf numFmtId="165" fontId="0" fillId="0" borderId="0" pivotButton="0" quotePrefix="0" xfId="0"/>
    <xf numFmtId="164" fontId="45" fillId="0" borderId="10" pivotButton="0" quotePrefix="0" xfId="43"/>
    <xf numFmtId="164" fontId="26" fillId="0" borderId="10" pivotButton="0" quotePrefix="0" xfId="0"/>
    <xf numFmtId="0" fontId="48" fillId="0" borderId="0" pivotButton="0" quotePrefix="0" xfId="0"/>
    <xf numFmtId="164" fontId="45" fillId="0" borderId="10" applyAlignment="1" pivotButton="0" quotePrefix="0" xfId="43">
      <alignment vertical="center"/>
    </xf>
    <xf numFmtId="164" fontId="46" fillId="0" borderId="10" applyAlignment="1" pivotButton="0" quotePrefix="0" xfId="43">
      <alignment vertical="center"/>
    </xf>
    <xf numFmtId="0" fontId="26" fillId="35" borderId="10" applyAlignment="1" pivotButton="0" quotePrefix="0" xfId="0">
      <alignment vertical="center" wrapText="1"/>
    </xf>
    <xf numFmtId="0" fontId="26" fillId="35" borderId="11" applyAlignment="1" pivotButton="0" quotePrefix="0" xfId="0">
      <alignment horizontal="center"/>
    </xf>
    <xf numFmtId="0" fontId="49" fillId="0" borderId="14" applyAlignment="1" pivotButton="0" quotePrefix="0" xfId="42">
      <alignment vertical="top" wrapText="1" readingOrder="1"/>
    </xf>
    <xf numFmtId="0" fontId="49" fillId="0" borderId="14" applyAlignment="1" pivotButton="0" quotePrefix="0" xfId="42">
      <alignment horizontal="right" vertical="top" wrapText="1" readingOrder="1"/>
    </xf>
    <xf numFmtId="0" fontId="49" fillId="0" borderId="14" applyAlignment="1" pivotButton="0" quotePrefix="0" xfId="42">
      <alignment horizontal="center" vertical="top" wrapText="1" readingOrder="1"/>
    </xf>
    <xf numFmtId="3" fontId="26" fillId="44" borderId="12" applyAlignment="1" pivotButton="0" quotePrefix="0" xfId="0">
      <alignment vertical="center" wrapText="1"/>
    </xf>
    <xf numFmtId="3" fontId="26" fillId="44" borderId="13" applyAlignment="1" pivotButton="0" quotePrefix="0" xfId="0">
      <alignment vertical="center" wrapText="1"/>
    </xf>
    <xf numFmtId="3" fontId="27" fillId="44" borderId="10" applyAlignment="1" pivotButton="0" quotePrefix="0" xfId="0">
      <alignment horizontal="left"/>
    </xf>
    <xf numFmtId="0" fontId="27" fillId="44" borderId="10" applyAlignment="1" pivotButton="0" quotePrefix="0" xfId="0">
      <alignment horizontal="left"/>
    </xf>
    <xf numFmtId="0" fontId="50" fillId="0" borderId="0" pivotButton="0" quotePrefix="0" xfId="0"/>
    <xf numFmtId="0" fontId="26" fillId="45" borderId="10" applyAlignment="1" pivotButton="0" quotePrefix="0" xfId="0">
      <alignment horizontal="center"/>
    </xf>
    <xf numFmtId="9" fontId="0" fillId="46" borderId="10" pivotButton="0" quotePrefix="0" xfId="0"/>
    <xf numFmtId="0" fontId="0" fillId="46" borderId="10" applyAlignment="1" pivotButton="0" quotePrefix="0" xfId="0">
      <alignment horizontal="center"/>
    </xf>
    <xf numFmtId="164" fontId="0" fillId="46" borderId="10" pivotButton="0" quotePrefix="0" xfId="43"/>
    <xf numFmtId="164" fontId="51" fillId="0" borderId="0" applyAlignment="1" pivotButton="0" quotePrefix="0" xfId="43">
      <alignment vertical="center"/>
    </xf>
    <xf numFmtId="169" fontId="50" fillId="0" borderId="0" pivotButton="0" quotePrefix="0" xfId="0"/>
    <xf numFmtId="0" fontId="50" fillId="0" borderId="0" applyAlignment="1" pivotButton="0" quotePrefix="0" xfId="0">
      <alignment horizontal="center"/>
    </xf>
    <xf numFmtId="0" fontId="2" fillId="0" borderId="0" pivotButton="0" quotePrefix="0" xfId="124"/>
    <xf numFmtId="167" fontId="52" fillId="0" borderId="14" applyAlignment="1" pivotButton="0" quotePrefix="0" xfId="0">
      <alignment vertical="top" wrapText="1" readingOrder="1"/>
    </xf>
    <xf numFmtId="0" fontId="53" fillId="0" borderId="15" applyAlignment="1" pivotButton="0" quotePrefix="0" xfId="0">
      <alignment vertical="top" wrapText="1"/>
    </xf>
    <xf numFmtId="0" fontId="52" fillId="0" borderId="14" applyAlignment="1" pivotButton="0" quotePrefix="0" xfId="0">
      <alignment vertical="top" wrapText="1" readingOrder="1"/>
    </xf>
    <xf numFmtId="0" fontId="53" fillId="0" borderId="16" applyAlignment="1" pivotButton="0" quotePrefix="0" xfId="0">
      <alignment vertical="top" wrapText="1"/>
    </xf>
    <xf numFmtId="168" fontId="52" fillId="0" borderId="14" applyAlignment="1" pivotButton="0" quotePrefix="0" xfId="0">
      <alignment vertical="top" wrapText="1" readingOrder="1"/>
    </xf>
    <xf numFmtId="0" fontId="53" fillId="0" borderId="0" pivotButton="0" quotePrefix="0" xfId="0"/>
    <xf numFmtId="168" fontId="52" fillId="0" borderId="14" applyAlignment="1" pivotButton="0" quotePrefix="0" xfId="0">
      <alignment horizontal="right" vertical="top" wrapText="1" readingOrder="1"/>
    </xf>
    <xf numFmtId="0" fontId="52" fillId="0" borderId="14" applyAlignment="1" pivotButton="0" quotePrefix="0" xfId="0">
      <alignment horizontal="center" vertical="top" wrapText="1" readingOrder="1"/>
    </xf>
    <xf numFmtId="0" fontId="52" fillId="0" borderId="14" applyAlignment="1" pivotButton="0" quotePrefix="0" xfId="0">
      <alignment horizontal="right" vertical="top" wrapText="1" readingOrder="1"/>
    </xf>
    <xf numFmtId="3" fontId="24" fillId="0" borderId="0" applyAlignment="1" pivotButton="0" quotePrefix="0" xfId="0">
      <alignment horizontal="center"/>
    </xf>
    <xf numFmtId="0" fontId="1" fillId="33" borderId="0" pivotButton="0" quotePrefix="0" xfId="125"/>
    <xf numFmtId="0" fontId="1" fillId="0" borderId="0" pivotButton="0" quotePrefix="0" xfId="125"/>
    <xf numFmtId="0" fontId="1" fillId="0" borderId="0" applyAlignment="1" pivotButton="0" quotePrefix="0" xfId="125">
      <alignment wrapText="1"/>
    </xf>
    <xf numFmtId="3" fontId="1" fillId="0" borderId="0" pivotButton="0" quotePrefix="0" xfId="125"/>
    <xf numFmtId="164" fontId="0" fillId="0" borderId="10" applyAlignment="1" pivotButton="0" quotePrefix="0" xfId="43">
      <alignment vertical="center"/>
    </xf>
    <xf numFmtId="164" fontId="45" fillId="0" borderId="10" applyAlignment="1" pivotButton="0" quotePrefix="0" xfId="43">
      <alignment vertical="center"/>
    </xf>
    <xf numFmtId="164" fontId="26" fillId="0" borderId="1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24">
      <alignment vertical="center"/>
    </xf>
    <xf numFmtId="0" fontId="1" fillId="0" borderId="0" applyAlignment="1" pivotButton="0" quotePrefix="0" xfId="125">
      <alignment vertical="center"/>
    </xf>
    <xf numFmtId="3" fontId="54" fillId="0" borderId="0" applyAlignment="1" pivotButton="0" quotePrefix="0" xfId="0">
      <alignment horizontal="center"/>
    </xf>
    <xf numFmtId="0" fontId="50" fillId="0" borderId="10" pivotButton="0" quotePrefix="0" xfId="0"/>
    <xf numFmtId="164" fontId="45" fillId="0" borderId="0" applyAlignment="1" pivotButton="0" quotePrefix="0" xfId="43">
      <alignment vertical="center"/>
    </xf>
    <xf numFmtId="0" fontId="45" fillId="0" borderId="21" applyAlignment="1" pivotButton="0" quotePrefix="0" xfId="0">
      <alignment horizontal="center" vertical="center"/>
    </xf>
    <xf numFmtId="0" fontId="45" fillId="0" borderId="13" applyAlignment="1" pivotButton="0" quotePrefix="0" xfId="0">
      <alignment horizontal="center" vertical="center"/>
    </xf>
    <xf numFmtId="0" fontId="26" fillId="33" borderId="11" applyAlignment="1" pivotButton="0" quotePrefix="0" xfId="0">
      <alignment horizontal="center" vertical="center"/>
    </xf>
    <xf numFmtId="0" fontId="26" fillId="33" borderId="13" applyAlignment="1" pivotButton="0" quotePrefix="0" xfId="0">
      <alignment horizontal="center" vertical="center"/>
    </xf>
    <xf numFmtId="0" fontId="26" fillId="35" borderId="11" applyAlignment="1" pivotButton="0" quotePrefix="0" xfId="0">
      <alignment horizontal="center" vertical="center" wrapText="1"/>
    </xf>
    <xf numFmtId="0" fontId="26" fillId="35" borderId="12" applyAlignment="1" pivotButton="0" quotePrefix="0" xfId="0">
      <alignment horizontal="center" vertical="center" wrapText="1"/>
    </xf>
    <xf numFmtId="0" fontId="26" fillId="35" borderId="13" applyAlignment="1" pivotButton="0" quotePrefix="0" xfId="0">
      <alignment horizontal="center" vertical="center" wrapText="1"/>
    </xf>
    <xf numFmtId="0" fontId="26" fillId="38" borderId="11" applyAlignment="1" pivotButton="0" quotePrefix="0" xfId="0">
      <alignment horizontal="center" vertical="center"/>
    </xf>
    <xf numFmtId="0" fontId="26" fillId="38" borderId="12" applyAlignment="1" pivotButton="0" quotePrefix="0" xfId="0">
      <alignment horizontal="center" vertical="center"/>
    </xf>
    <xf numFmtId="0" fontId="26" fillId="38" borderId="13" applyAlignment="1" pivotButton="0" quotePrefix="0" xfId="0">
      <alignment horizontal="center" vertical="center"/>
    </xf>
    <xf numFmtId="0" fontId="26" fillId="36" borderId="11" applyAlignment="1" pivotButton="0" quotePrefix="0" xfId="0">
      <alignment horizontal="center" vertical="center"/>
    </xf>
    <xf numFmtId="0" fontId="26" fillId="36" borderId="12" applyAlignment="1" pivotButton="0" quotePrefix="0" xfId="0">
      <alignment horizontal="center" vertical="center"/>
    </xf>
    <xf numFmtId="0" fontId="26" fillId="36" borderId="13" applyAlignment="1" pivotButton="0" quotePrefix="0" xfId="0">
      <alignment horizontal="center" vertical="center"/>
    </xf>
    <xf numFmtId="0" fontId="26" fillId="36" borderId="20" applyAlignment="1" pivotButton="0" quotePrefix="0" xfId="0">
      <alignment horizontal="center" vertical="center"/>
    </xf>
    <xf numFmtId="0" fontId="26" fillId="36" borderId="22" applyAlignment="1" pivotButton="0" quotePrefix="0" xfId="0">
      <alignment horizontal="center" vertical="center"/>
    </xf>
    <xf numFmtId="0" fontId="26" fillId="36" borderId="20" applyAlignment="1" pivotButton="0" quotePrefix="0" xfId="0">
      <alignment horizontal="center" vertical="center" wrapText="1"/>
    </xf>
    <xf numFmtId="0" fontId="26" fillId="36" borderId="22" applyAlignment="1" pivotButton="0" quotePrefix="0" xfId="0">
      <alignment horizontal="center" vertical="center" wrapText="1"/>
    </xf>
    <xf numFmtId="0" fontId="26" fillId="37" borderId="11" applyAlignment="1" pivotButton="0" quotePrefix="0" xfId="0">
      <alignment horizontal="center" vertical="center"/>
    </xf>
    <xf numFmtId="0" fontId="26" fillId="37" borderId="12" applyAlignment="1" pivotButton="0" quotePrefix="0" xfId="0">
      <alignment horizontal="center" vertical="center"/>
    </xf>
    <xf numFmtId="0" fontId="26" fillId="37" borderId="13" applyAlignment="1" pivotButton="0" quotePrefix="0" xfId="0">
      <alignment horizontal="center" vertical="center"/>
    </xf>
    <xf numFmtId="3" fontId="26" fillId="35" borderId="11" applyAlignment="1" pivotButton="0" quotePrefix="0" xfId="0">
      <alignment horizontal="center" vertical="center" wrapText="1"/>
    </xf>
    <xf numFmtId="3" fontId="26" fillId="35" borderId="12" applyAlignment="1" pivotButton="0" quotePrefix="0" xfId="0">
      <alignment horizontal="center" vertical="center" wrapText="1"/>
    </xf>
    <xf numFmtId="0" fontId="26" fillId="44" borderId="12" applyAlignment="1" pivotButton="0" quotePrefix="0" xfId="0">
      <alignment horizontal="center" vertical="center" wrapText="1"/>
    </xf>
    <xf numFmtId="0" fontId="26" fillId="44" borderId="13" applyAlignment="1" pivotButton="0" quotePrefix="0" xfId="0">
      <alignment horizontal="center" vertical="center" wrapText="1"/>
    </xf>
    <xf numFmtId="3" fontId="26" fillId="35" borderId="13" applyAlignment="1" pivotButton="0" quotePrefix="0" xfId="0">
      <alignment horizontal="center" vertical="center" wrapText="1"/>
    </xf>
    <xf numFmtId="0" fontId="26" fillId="35" borderId="10" applyAlignment="1" pivotButton="0" quotePrefix="0" xfId="0">
      <alignment horizontal="center" vertical="center"/>
    </xf>
    <xf numFmtId="0" fontId="26" fillId="36" borderId="10" applyAlignment="1" pivotButton="0" quotePrefix="0" xfId="0">
      <alignment horizontal="center" vertical="center"/>
    </xf>
    <xf numFmtId="0" fontId="46" fillId="36" borderId="10" applyAlignment="1" pivotButton="0" quotePrefix="0" xfId="0">
      <alignment horizontal="center" vertical="center"/>
    </xf>
    <xf numFmtId="0" fontId="46" fillId="36" borderId="10" applyAlignment="1" pivotButton="0" quotePrefix="0" xfId="0">
      <alignment horizontal="center" vertical="center" wrapText="1"/>
    </xf>
    <xf numFmtId="0" fontId="46" fillId="37" borderId="10" applyAlignment="1" pivotButton="0" quotePrefix="0" xfId="0">
      <alignment horizontal="center" vertical="center"/>
    </xf>
    <xf numFmtId="0" fontId="46" fillId="38" borderId="10" applyAlignment="1" pivotButton="0" quotePrefix="0" xfId="0">
      <alignment horizontal="center" vertical="center"/>
    </xf>
    <xf numFmtId="0" fontId="46" fillId="38" borderId="10" applyAlignment="1" pivotButton="0" quotePrefix="0" xfId="0">
      <alignment horizontal="center" vertical="center" wrapText="1"/>
    </xf>
    <xf numFmtId="0" fontId="45" fillId="0" borderId="10" applyAlignment="1" pivotButton="0" quotePrefix="0" xfId="0">
      <alignment horizontal="center" vertical="center"/>
    </xf>
    <xf numFmtId="0" fontId="46" fillId="37" borderId="10" applyAlignment="1" pivotButton="0" quotePrefix="0" xfId="0">
      <alignment horizontal="center" vertical="center" wrapText="1"/>
    </xf>
    <xf numFmtId="0" fontId="26" fillId="45" borderId="11" applyAlignment="1" pivotButton="0" quotePrefix="0" xfId="0">
      <alignment horizontal="center" wrapText="1"/>
    </xf>
    <xf numFmtId="0" fontId="26" fillId="45" borderId="12" applyAlignment="1" pivotButton="0" quotePrefix="0" xfId="0">
      <alignment horizontal="center" wrapText="1"/>
    </xf>
    <xf numFmtId="0" fontId="26" fillId="45" borderId="13" applyAlignment="1" pivotButton="0" quotePrefix="0" xfId="0">
      <alignment horizont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2" pivotButton="0" quotePrefix="0" xfId="0"/>
    <xf numFmtId="164" fontId="44" fillId="34" borderId="10" applyAlignment="1" pivotButton="0" quotePrefix="0" xfId="43">
      <alignment vertical="center"/>
    </xf>
    <xf numFmtId="165" fontId="46" fillId="34" borderId="10" applyAlignment="1" pivotButton="0" quotePrefix="0" xfId="43">
      <alignment horizontal="center" vertical="center"/>
    </xf>
    <xf numFmtId="165" fontId="47" fillId="39" borderId="10" applyAlignment="1" pivotButton="0" quotePrefix="0" xfId="43">
      <alignment horizontal="center" vertical="center"/>
    </xf>
    <xf numFmtId="165" fontId="46" fillId="40" borderId="10" applyAlignment="1" pivotButton="0" quotePrefix="0" xfId="43">
      <alignment horizontal="center" vertical="center"/>
    </xf>
    <xf numFmtId="165" fontId="47" fillId="41" borderId="10" applyAlignment="1" pivotButton="0" quotePrefix="0" xfId="43">
      <alignment horizontal="center" vertical="center"/>
    </xf>
    <xf numFmtId="165" fontId="46" fillId="43" borderId="10" applyAlignment="1" pivotButton="0" quotePrefix="0" xfId="43">
      <alignment horizontal="center" vertical="center"/>
    </xf>
    <xf numFmtId="164" fontId="8" fillId="0" borderId="10" applyAlignment="1" pivotButton="0" quotePrefix="0" xfId="43">
      <alignment vertical="center"/>
    </xf>
    <xf numFmtId="165" fontId="47" fillId="0" borderId="10" applyAlignment="1" pivotButton="0" quotePrefix="0" xfId="43">
      <alignment horizontal="center" vertical="center"/>
    </xf>
    <xf numFmtId="165" fontId="46" fillId="0" borderId="10" applyAlignment="1" pivotButton="0" quotePrefix="0" xfId="43">
      <alignment horizontal="center" vertical="center"/>
    </xf>
    <xf numFmtId="164" fontId="45" fillId="0" borderId="10" applyAlignment="1" pivotButton="0" quotePrefix="0" xfId="43">
      <alignment vertical="center"/>
    </xf>
    <xf numFmtId="165" fontId="24" fillId="0" borderId="23" applyAlignment="1" pivotButton="0" quotePrefix="0" xfId="43">
      <alignment horizontal="center" vertical="center"/>
    </xf>
    <xf numFmtId="164" fontId="46" fillId="0" borderId="10" applyAlignment="1" pivotButton="0" quotePrefix="0" xfId="43">
      <alignment vertical="center"/>
    </xf>
    <xf numFmtId="165" fontId="0" fillId="0" borderId="0" pivotButton="0" quotePrefix="0" xfId="0"/>
    <xf numFmtId="0" fontId="26" fillId="36" borderId="10" applyAlignment="1" pivotButton="0" quotePrefix="0" xfId="0">
      <alignment horizontal="center" vertical="center" wrapText="1"/>
    </xf>
    <xf numFmtId="165" fontId="0" fillId="34" borderId="10" applyAlignment="1" pivotButton="0" quotePrefix="0" xfId="43">
      <alignment horizontal="center" vertical="center"/>
    </xf>
    <xf numFmtId="165" fontId="0" fillId="39" borderId="10" applyAlignment="1" pivotButton="0" quotePrefix="0" xfId="43">
      <alignment horizontal="center" vertical="center"/>
    </xf>
    <xf numFmtId="165" fontId="26" fillId="40" borderId="10" applyAlignment="1" pivotButton="0" quotePrefix="0" xfId="43">
      <alignment horizontal="center" vertical="center"/>
    </xf>
    <xf numFmtId="165" fontId="26" fillId="42" borderId="10" applyAlignment="1" pivotButton="0" quotePrefix="0" xfId="43">
      <alignment horizontal="center" vertical="center"/>
    </xf>
    <xf numFmtId="164" fontId="0" fillId="0" borderId="10" applyAlignment="1" pivotButton="0" quotePrefix="0" xfId="43">
      <alignment vertical="center"/>
    </xf>
    <xf numFmtId="165" fontId="0" fillId="0" borderId="10" applyAlignment="1" pivotButton="0" quotePrefix="0" xfId="43">
      <alignment horizontal="center"/>
    </xf>
    <xf numFmtId="165" fontId="26" fillId="0" borderId="10" applyAlignment="1" pivotButton="0" quotePrefix="0" xfId="43">
      <alignment horizontal="center"/>
    </xf>
    <xf numFmtId="0" fontId="45" fillId="0" borderId="22" applyAlignment="1" pivotButton="0" quotePrefix="0" xfId="0">
      <alignment horizontal="center" vertical="center"/>
    </xf>
    <xf numFmtId="0" fontId="0" fillId="0" borderId="28" pivotButton="0" quotePrefix="0" xfId="0"/>
    <xf numFmtId="164" fontId="45" fillId="0" borderId="0" applyAlignment="1" pivotButton="0" quotePrefix="0" xfId="43">
      <alignment vertical="center"/>
    </xf>
    <xf numFmtId="0" fontId="26" fillId="33" borderId="10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/>
    </xf>
    <xf numFmtId="164" fontId="26" fillId="35" borderId="10" applyAlignment="1" pivotButton="0" quotePrefix="0" xfId="43">
      <alignment horizontal="center" vertical="center"/>
    </xf>
    <xf numFmtId="3" fontId="26" fillId="35" borderId="10" applyAlignment="1" pivotButton="0" quotePrefix="0" xfId="0">
      <alignment horizontal="center" vertical="center" wrapText="1"/>
    </xf>
    <xf numFmtId="164" fontId="28" fillId="35" borderId="10" applyAlignment="1" pivotButton="0" quotePrefix="0" xfId="43">
      <alignment wrapText="1"/>
    </xf>
    <xf numFmtId="166" fontId="26" fillId="35" borderId="10" pivotButton="0" quotePrefix="0" xfId="0"/>
    <xf numFmtId="0" fontId="26" fillId="45" borderId="10" applyAlignment="1" pivotButton="0" quotePrefix="0" xfId="0">
      <alignment horizontal="center" wrapText="1"/>
    </xf>
    <xf numFmtId="164" fontId="0" fillId="46" borderId="10" pivotButton="0" quotePrefix="0" xfId="43"/>
    <xf numFmtId="164" fontId="0" fillId="0" borderId="10" pivotButton="0" quotePrefix="0" xfId="43"/>
    <xf numFmtId="169" fontId="50" fillId="0" borderId="0" pivotButton="0" quotePrefix="0" xfId="0"/>
    <xf numFmtId="164" fontId="45" fillId="0" borderId="10" pivotButton="0" quotePrefix="0" xfId="43"/>
    <xf numFmtId="164" fontId="51" fillId="0" borderId="0" applyAlignment="1" pivotButton="0" quotePrefix="0" xfId="43">
      <alignment vertical="center"/>
    </xf>
    <xf numFmtId="164" fontId="26" fillId="0" borderId="10" pivotButton="0" quotePrefix="0" xfId="0"/>
  </cellXfs>
  <cellStyles count="12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Comma" xfId="43" builtinId="3"/>
    <cellStyle name="Percent" xfId="44" builtinId="5"/>
    <cellStyle name="Normal 3" xfId="45"/>
    <cellStyle name="Normal 4" xfId="46"/>
    <cellStyle name="Comma 2" xfId="47"/>
    <cellStyle name="Normal 2 2" xfId="48"/>
    <cellStyle name="Normal 5" xfId="49"/>
    <cellStyle name="Title 2" xfId="50"/>
    <cellStyle name="Heading 1 2" xfId="51"/>
    <cellStyle name="Heading 2 2" xfId="52"/>
    <cellStyle name="Heading 3 2" xfId="53"/>
    <cellStyle name="Heading 4 2" xfId="54"/>
    <cellStyle name="Good 2" xfId="55"/>
    <cellStyle name="Bad 2" xfId="56"/>
    <cellStyle name="Neutral 2" xfId="57"/>
    <cellStyle name="Input 2" xfId="58"/>
    <cellStyle name="Output 2" xfId="59"/>
    <cellStyle name="Calculation 2" xfId="60"/>
    <cellStyle name="Linked Cell 2" xfId="61"/>
    <cellStyle name="Check Cell 2" xfId="62"/>
    <cellStyle name="Warning Text 2" xfId="63"/>
    <cellStyle name="Note 2" xfId="64"/>
    <cellStyle name="Explanatory Text 2" xfId="65"/>
    <cellStyle name="Total 2" xfId="66"/>
    <cellStyle name="Accent1 2" xfId="67"/>
    <cellStyle name="20% - Accent1 2" xfId="68"/>
    <cellStyle name="40% - Accent1 2" xfId="69"/>
    <cellStyle name="60% - Accent1 2" xfId="70"/>
    <cellStyle name="Accent2 2" xfId="71"/>
    <cellStyle name="20% - Accent2 2" xfId="72"/>
    <cellStyle name="40% - Accent2 2" xfId="73"/>
    <cellStyle name="60% - Accent2 2" xfId="74"/>
    <cellStyle name="Accent3 2" xfId="75"/>
    <cellStyle name="20% - Accent3 2" xfId="76"/>
    <cellStyle name="40% - Accent3 2" xfId="77"/>
    <cellStyle name="60% - Accent3 2" xfId="78"/>
    <cellStyle name="Accent4 2" xfId="79"/>
    <cellStyle name="20% - Accent4 2" xfId="80"/>
    <cellStyle name="40% - Accent4 2" xfId="81"/>
    <cellStyle name="60% - Accent4 2" xfId="82"/>
    <cellStyle name="Accent5 2" xfId="83"/>
    <cellStyle name="20% - Accent5 2" xfId="84"/>
    <cellStyle name="40% - Accent5 2" xfId="85"/>
    <cellStyle name="60% - Accent5 2" xfId="86"/>
    <cellStyle name="Accent6 2" xfId="87"/>
    <cellStyle name="20% - Accent6 2" xfId="88"/>
    <cellStyle name="40% - Accent6 2" xfId="89"/>
    <cellStyle name="60% - Accent6 2" xfId="90"/>
    <cellStyle name="Comma 3" xfId="91"/>
    <cellStyle name="Percent 2" xfId="92"/>
    <cellStyle name="Normal 4 2" xfId="93"/>
    <cellStyle name="Comma 2 2" xfId="94"/>
    <cellStyle name="Normal 6" xfId="95"/>
    <cellStyle name="Title 3" xfId="96"/>
    <cellStyle name="Neutral 3" xfId="97"/>
    <cellStyle name="60% - Accent1 3" xfId="98"/>
    <cellStyle name="60% - Accent2 3" xfId="99"/>
    <cellStyle name="60% - Accent3 3" xfId="100"/>
    <cellStyle name="60% - Accent4 3" xfId="101"/>
    <cellStyle name="60% - Accent5 3" xfId="102"/>
    <cellStyle name="60% - Accent6 3" xfId="103"/>
    <cellStyle name="Normal 7" xfId="104"/>
    <cellStyle name="Title 4" xfId="105"/>
    <cellStyle name="Neutral 4" xfId="106"/>
    <cellStyle name="Note 3" xfId="107"/>
    <cellStyle name="60% - Accent1 4" xfId="108"/>
    <cellStyle name="60% - Accent2 4" xfId="109"/>
    <cellStyle name="60% - Accent3 4" xfId="110"/>
    <cellStyle name="60% - Accent4 4" xfId="111"/>
    <cellStyle name="60% - Accent5 4" xfId="112"/>
    <cellStyle name="60% - Accent6 4" xfId="113"/>
    <cellStyle name="Comma 4" xfId="114"/>
    <cellStyle name="Percent 3" xfId="115"/>
    <cellStyle name="Comma 2 3" xfId="116"/>
    <cellStyle name="Comma 3 2" xfId="117"/>
    <cellStyle name="Comma 2 2 2" xfId="118"/>
    <cellStyle name="Normal 6 2" xfId="119"/>
    <cellStyle name="ปกติ 2" xfId="120"/>
    <cellStyle name="Normal 8" xfId="121"/>
    <cellStyle name="Normal 9" xfId="122"/>
    <cellStyle name="Normal 10" xfId="123"/>
    <cellStyle name="Normal 11" xfId="124"/>
    <cellStyle name="Normal 12" xfId="12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c298b55397a736fc/Desktop/marketing/rank%20&#3626;&#3636;&#3609;&#3588;&#3657;&#3634;2025/06-2025/Rank-06-2025%20up%20to%20drive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หน้าสรุป"/>
      <sheetName val="Rank-สินค้าทั้งหมด"/>
      <sheetName val="Rank-สินค้าใหม่"/>
      <sheetName val="รายการที่ตัดออก"/>
    </sheetNames>
    <sheetDataSet>
      <sheetData sheetId="0"/>
      <sheetData sheetId="1">
        <row r="3">
          <cell r="Z3">
            <v>1</v>
          </cell>
        </row>
        <row r="7">
          <cell r="J7">
            <v>14153</v>
          </cell>
          <cell r="K7">
            <v>1</v>
          </cell>
          <cell r="L7">
            <v>-4</v>
          </cell>
          <cell r="M7">
            <v>2</v>
          </cell>
          <cell r="N7">
            <v>4</v>
          </cell>
          <cell r="O7">
            <v>-7</v>
          </cell>
          <cell r="P7">
            <v>0</v>
          </cell>
          <cell r="Q7">
            <v>-0.66666666666666663</v>
          </cell>
          <cell r="S7">
            <v>-2075.9299999999998</v>
          </cell>
          <cell r="T7">
            <v>-6561.72</v>
          </cell>
          <cell r="U7">
            <v>7803.9</v>
          </cell>
          <cell r="V7">
            <v>12584.38</v>
          </cell>
          <cell r="W7">
            <v>-16863.379999999997</v>
          </cell>
          <cell r="X7">
            <v>-4904.72</v>
          </cell>
          <cell r="Y7">
            <v>-10017.469999999998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A1:W10"/>
  <sheetViews>
    <sheetView zoomScale="85" zoomScaleNormal="85" workbookViewId="0">
      <selection activeCell="I26" sqref="I26"/>
    </sheetView>
  </sheetViews>
  <sheetFormatPr baseColWidth="8" defaultRowHeight="14.4"/>
  <cols>
    <col width="7.6640625" customWidth="1" min="1" max="1"/>
    <col width="41.44140625" customWidth="1" min="2" max="2"/>
    <col width="10.21875" customWidth="1" min="3" max="3"/>
    <col width="3.21875" customWidth="1" min="4" max="4"/>
    <col width="9" bestFit="1" customWidth="1" min="5" max="5"/>
    <col width="9" bestFit="1" customWidth="1" min="7" max="14"/>
    <col width="10.21875" customWidth="1" min="15" max="15"/>
    <col width="11.88671875" customWidth="1" min="16" max="16"/>
    <col width="12.77734375" customWidth="1" min="17" max="17"/>
    <col width="11.5546875" bestFit="1" customWidth="1" min="18" max="18"/>
    <col width="13.5546875" customWidth="1" min="19" max="19"/>
    <col width="12.5546875" customWidth="1" min="20" max="20"/>
    <col width="13.5546875" customWidth="1" min="21" max="21"/>
    <col width="13.21875" customWidth="1" min="22" max="22"/>
    <col width="9.6640625" customWidth="1" min="23" max="23"/>
  </cols>
  <sheetData>
    <row r="1" ht="22.8" customHeight="1">
      <c r="A1" s="211" t="inlineStr">
        <is>
          <t>Rank สินค้า</t>
        </is>
      </c>
      <c r="B1" s="222" t="n"/>
      <c r="C1" s="223" t="n"/>
      <c r="E1" s="212" t="inlineStr">
        <is>
          <t>Total</t>
        </is>
      </c>
      <c r="F1" s="212" t="inlineStr">
        <is>
          <t>Rank</t>
        </is>
      </c>
      <c r="G1" s="213" t="inlineStr">
        <is>
          <t>จน.Item</t>
        </is>
      </c>
      <c r="H1" s="214" t="inlineStr">
        <is>
          <t>จำนวนชิ้น</t>
        </is>
      </c>
      <c r="I1" s="222" t="n"/>
      <c r="J1" s="222" t="n"/>
      <c r="K1" s="222" t="n"/>
      <c r="L1" s="222" t="n"/>
      <c r="M1" s="223" t="n"/>
      <c r="N1" s="218" t="inlineStr">
        <is>
          <t>AV 6M</t>
        </is>
      </c>
      <c r="O1" s="214" t="inlineStr">
        <is>
          <t>คิดเป็น %</t>
        </is>
      </c>
      <c r="P1" s="215" t="inlineStr">
        <is>
          <t>จำนวนบาท</t>
        </is>
      </c>
      <c r="Q1" s="222" t="n"/>
      <c r="R1" s="222" t="n"/>
      <c r="S1" s="222" t="n"/>
      <c r="T1" s="222" t="n"/>
      <c r="U1" s="223" t="n"/>
      <c r="V1" s="216" t="inlineStr">
        <is>
          <t xml:space="preserve">SUM 6M </t>
        </is>
      </c>
      <c r="W1" s="215" t="inlineStr">
        <is>
          <t>คิดเป็น %</t>
        </is>
      </c>
    </row>
    <row r="2" ht="15.6" customHeight="1">
      <c r="A2" s="211" t="inlineStr">
        <is>
          <t>Total</t>
        </is>
      </c>
      <c r="B2" s="211" t="n"/>
      <c r="C2" s="211" t="inlineStr">
        <is>
          <t>จน.Item</t>
        </is>
      </c>
      <c r="E2" s="224" t="n"/>
      <c r="F2" s="224" t="n"/>
      <c r="G2" s="224" t="n"/>
      <c r="H2" s="93" t="inlineStr">
        <is>
          <t>มี.ค.</t>
        </is>
      </c>
      <c r="I2" s="93" t="inlineStr">
        <is>
          <t>เม.ย.</t>
        </is>
      </c>
      <c r="J2" s="93" t="inlineStr">
        <is>
          <t>พ.ค.</t>
        </is>
      </c>
      <c r="K2" s="93" t="inlineStr">
        <is>
          <t>มิ.ย.</t>
        </is>
      </c>
      <c r="L2" s="93" t="inlineStr">
        <is>
          <t>ก.ค.</t>
        </is>
      </c>
      <c r="M2" s="93" t="inlineStr">
        <is>
          <t>ส.ค.</t>
        </is>
      </c>
      <c r="N2" s="224" t="n"/>
      <c r="O2" s="224" t="n"/>
      <c r="P2" s="215" t="inlineStr">
        <is>
          <t>มี.ค.</t>
        </is>
      </c>
      <c r="Q2" s="215" t="inlineStr">
        <is>
          <t>เม.ย.</t>
        </is>
      </c>
      <c r="R2" s="215" t="inlineStr">
        <is>
          <t>พ.ค.</t>
        </is>
      </c>
      <c r="S2" s="215" t="inlineStr">
        <is>
          <t>มิ.ย.</t>
        </is>
      </c>
      <c r="T2" s="215" t="inlineStr">
        <is>
          <t>ก.ค.</t>
        </is>
      </c>
      <c r="U2" s="215" t="inlineStr">
        <is>
          <t>ส.ค.</t>
        </is>
      </c>
      <c r="V2" s="224" t="n"/>
      <c r="W2" s="224" t="n"/>
    </row>
    <row r="3" ht="30.6" customHeight="1">
      <c r="A3" s="82">
        <f>SUM(A4:A6)</f>
        <v/>
      </c>
      <c r="B3" s="114" t="inlineStr">
        <is>
          <t>เฉพาะรายการที่มียอดขายย้อนหลัง 6 เดือน</t>
        </is>
      </c>
      <c r="C3" s="225">
        <f>'Rank-สินค้าทั้งหมด '!D3</f>
        <v/>
      </c>
      <c r="E3" s="115" t="n">
        <v>1</v>
      </c>
      <c r="F3" s="116" t="n"/>
      <c r="G3" s="226">
        <f>SUM(G4:G6)</f>
        <v/>
      </c>
      <c r="H3" s="227">
        <f>'Rank-สินค้าทั้งหมด '!K3</f>
        <v/>
      </c>
      <c r="I3" s="227">
        <f>'Rank-สินค้าทั้งหมด '!L3</f>
        <v/>
      </c>
      <c r="J3" s="227">
        <f>'Rank-สินค้าทั้งหมด '!M3</f>
        <v/>
      </c>
      <c r="K3" s="227">
        <f>'Rank-สินค้าทั้งหมด '!N3</f>
        <v/>
      </c>
      <c r="L3" s="227">
        <f>'Rank-สินค้าทั้งหมด '!O3</f>
        <v/>
      </c>
      <c r="M3" s="227">
        <f>'Rank-สินค้าทั้งหมด '!P3</f>
        <v/>
      </c>
      <c r="N3" s="228">
        <f>'Rank-สินค้าทั้งหมด '!Q3</f>
        <v/>
      </c>
      <c r="O3" s="120">
        <f>'Rank-สินค้าทั้งหมด '!R3</f>
        <v/>
      </c>
      <c r="P3" s="229">
        <f>'Rank-สินค้าทั้งหมด '!S3</f>
        <v/>
      </c>
      <c r="Q3" s="229">
        <f>'Rank-สินค้าทั้งหมด '!T3</f>
        <v/>
      </c>
      <c r="R3" s="229">
        <f>'Rank-สินค้าทั้งหมด '!U3</f>
        <v/>
      </c>
      <c r="S3" s="229">
        <f>'Rank-สินค้าทั้งหมด '!V3</f>
        <v/>
      </c>
      <c r="T3" s="229">
        <f>'Rank-สินค้าทั้งหมด '!W3</f>
        <v/>
      </c>
      <c r="U3" s="229">
        <f>'Rank-สินค้าทั้งหมด '!X3</f>
        <v/>
      </c>
      <c r="V3" s="230">
        <f>'Rank-สินค้าทั้งหมด '!Y3</f>
        <v/>
      </c>
      <c r="W3" s="123">
        <f>'[1]Rank-สินค้าทั้งหมด'!Z3</f>
        <v/>
      </c>
    </row>
    <row r="4" ht="15.6" customHeight="1">
      <c r="A4" s="124">
        <f>C4/$C$3</f>
        <v/>
      </c>
      <c r="B4" s="125" t="inlineStr">
        <is>
          <t>A</t>
        </is>
      </c>
      <c r="C4" s="231">
        <f>'Rank-สินค้าทั้งหมด '!D4</f>
        <v/>
      </c>
      <c r="E4" s="127">
        <f>A4</f>
        <v/>
      </c>
      <c r="F4" s="128" t="inlineStr">
        <is>
          <t>A</t>
        </is>
      </c>
      <c r="G4" s="232">
        <f>'Rank-สินค้าทั้งหมด '!J4</f>
        <v/>
      </c>
      <c r="H4" s="232">
        <f>'Rank-สินค้าทั้งหมด '!K4</f>
        <v/>
      </c>
      <c r="I4" s="232">
        <f>'Rank-สินค้าทั้งหมด '!L4</f>
        <v/>
      </c>
      <c r="J4" s="232">
        <f>'Rank-สินค้าทั้งหมด '!M4</f>
        <v/>
      </c>
      <c r="K4" s="232">
        <f>'Rank-สินค้าทั้งหมด '!N4</f>
        <v/>
      </c>
      <c r="L4" s="232">
        <f>'Rank-สินค้าทั้งหมด '!O4</f>
        <v/>
      </c>
      <c r="M4" s="232">
        <f>'Rank-สินค้าทั้งหมด '!P4</f>
        <v/>
      </c>
      <c r="N4" s="233">
        <f>'Rank-สินค้าทั้งหมด '!Q4</f>
        <v/>
      </c>
      <c r="O4" s="133">
        <f>'Rank-สินค้าทั้งหมด '!R4</f>
        <v/>
      </c>
      <c r="P4" s="232">
        <f>'Rank-สินค้าทั้งหมด '!S4</f>
        <v/>
      </c>
      <c r="Q4" s="232">
        <f>'Rank-สินค้าทั้งหมด '!T4</f>
        <v/>
      </c>
      <c r="R4" s="232">
        <f>'Rank-สินค้าทั้งหมด '!U4</f>
        <v/>
      </c>
      <c r="S4" s="232">
        <f>'Rank-สินค้าทั้งหมด '!V4</f>
        <v/>
      </c>
      <c r="T4" s="232">
        <f>'Rank-สินค้าทั้งหมด '!W4</f>
        <v/>
      </c>
      <c r="U4" s="232">
        <f>'Rank-สินค้าทั้งหมด '!X4</f>
        <v/>
      </c>
      <c r="V4" s="233">
        <f>'Rank-สินค้าทั้งหมด '!Y4</f>
        <v/>
      </c>
      <c r="W4" s="133">
        <f>V4/V3*W3</f>
        <v/>
      </c>
    </row>
    <row r="5" ht="15.6" customHeight="1">
      <c r="A5" s="124">
        <f>C5/$C$3</f>
        <v/>
      </c>
      <c r="B5" s="125" t="inlineStr">
        <is>
          <t>B</t>
        </is>
      </c>
      <c r="C5" s="231">
        <f>'Rank-สินค้าทั้งหมด '!D5</f>
        <v/>
      </c>
      <c r="E5" s="127">
        <f>A5</f>
        <v/>
      </c>
      <c r="F5" s="128" t="inlineStr">
        <is>
          <t>B</t>
        </is>
      </c>
      <c r="G5" s="232">
        <f>'Rank-สินค้าทั้งหมด '!J5</f>
        <v/>
      </c>
      <c r="H5" s="232">
        <f>'Rank-สินค้าทั้งหมด '!K5</f>
        <v/>
      </c>
      <c r="I5" s="232">
        <f>'Rank-สินค้าทั้งหมด '!L5</f>
        <v/>
      </c>
      <c r="J5" s="232">
        <f>'Rank-สินค้าทั้งหมด '!M5</f>
        <v/>
      </c>
      <c r="K5" s="232">
        <f>'Rank-สินค้าทั้งหมด '!N5</f>
        <v/>
      </c>
      <c r="L5" s="232">
        <f>'Rank-สินค้าทั้งหมด '!O5</f>
        <v/>
      </c>
      <c r="M5" s="232">
        <f>'Rank-สินค้าทั้งหมด '!P5</f>
        <v/>
      </c>
      <c r="N5" s="233">
        <f>'Rank-สินค้าทั้งหมด '!Q5</f>
        <v/>
      </c>
      <c r="O5" s="133">
        <f>'Rank-สินค้าทั้งหมด '!R5</f>
        <v/>
      </c>
      <c r="P5" s="232">
        <f>'Rank-สินค้าทั้งหมด '!S5</f>
        <v/>
      </c>
      <c r="Q5" s="232">
        <f>'Rank-สินค้าทั้งหมด '!T5</f>
        <v/>
      </c>
      <c r="R5" s="232">
        <f>'Rank-สินค้าทั้งหมด '!U5</f>
        <v/>
      </c>
      <c r="S5" s="232">
        <f>'Rank-สินค้าทั้งหมด '!V5</f>
        <v/>
      </c>
      <c r="T5" s="232">
        <f>'Rank-สินค้าทั้งหมด '!W5</f>
        <v/>
      </c>
      <c r="U5" s="232">
        <f>'Rank-สินค้าทั้งหมด '!X5</f>
        <v/>
      </c>
      <c r="V5" s="233">
        <f>'Rank-สินค้าทั้งหมด '!Y5</f>
        <v/>
      </c>
      <c r="W5" s="133">
        <f>V5/V4*W4</f>
        <v/>
      </c>
    </row>
    <row r="6" ht="15.6" customHeight="1">
      <c r="A6" s="124">
        <f>C6/$C$3</f>
        <v/>
      </c>
      <c r="B6" s="125" t="inlineStr">
        <is>
          <t>C</t>
        </is>
      </c>
      <c r="C6" s="231">
        <f>'Rank-สินค้าทั้งหมด '!D6</f>
        <v/>
      </c>
      <c r="E6" s="127">
        <f>A6</f>
        <v/>
      </c>
      <c r="F6" s="128" t="inlineStr">
        <is>
          <t>C</t>
        </is>
      </c>
      <c r="G6" s="232">
        <f>'Rank-สินค้าทั้งหมด '!J6</f>
        <v/>
      </c>
      <c r="H6" s="232">
        <f>'Rank-สินค้าทั้งหมด '!K6</f>
        <v/>
      </c>
      <c r="I6" s="232">
        <f>'Rank-สินค้าทั้งหมด '!L6</f>
        <v/>
      </c>
      <c r="J6" s="232">
        <f>'Rank-สินค้าทั้งหมด '!M6</f>
        <v/>
      </c>
      <c r="K6" s="232">
        <f>'Rank-สินค้าทั้งหมด '!N6</f>
        <v/>
      </c>
      <c r="L6" s="232">
        <f>'Rank-สินค้าทั้งหมด '!O6</f>
        <v/>
      </c>
      <c r="M6" s="232">
        <f>'Rank-สินค้าทั้งหมด '!P6</f>
        <v/>
      </c>
      <c r="N6" s="233">
        <f>'Rank-สินค้าทั้งหมด '!Q6</f>
        <v/>
      </c>
      <c r="O6" s="133">
        <f>'Rank-สินค้าทั้งหมด '!R6</f>
        <v/>
      </c>
      <c r="P6" s="232">
        <f>'Rank-สินค้าทั้งหมด '!S6</f>
        <v/>
      </c>
      <c r="Q6" s="232">
        <f>'Rank-สินค้าทั้งหมด '!T6</f>
        <v/>
      </c>
      <c r="R6" s="232">
        <f>'Rank-สินค้าทั้งหมด '!U6</f>
        <v/>
      </c>
      <c r="S6" s="232">
        <f>'Rank-สินค้าทั้งหมด '!V6</f>
        <v/>
      </c>
      <c r="T6" s="232">
        <f>'Rank-สินค้าทั้งหมด '!W6</f>
        <v/>
      </c>
      <c r="U6" s="232">
        <f>'Rank-สินค้าทั้งหมด '!X6</f>
        <v/>
      </c>
      <c r="V6" s="233">
        <f>'Rank-สินค้าทั้งหมด '!Y6</f>
        <v/>
      </c>
      <c r="W6" s="133">
        <f>V6/V5*W5</f>
        <v/>
      </c>
    </row>
    <row r="7" ht="16.8" customHeight="1">
      <c r="A7" s="217" t="inlineStr">
        <is>
          <t>รายการไม่มียอดขาย ย้อนหลัง 6 เดือน</t>
        </is>
      </c>
      <c r="B7" s="223" t="n"/>
      <c r="C7" s="234">
        <f>'Rank-สินค้าทั้งหมด '!D7</f>
        <v/>
      </c>
      <c r="E7" s="134" t="n"/>
      <c r="F7" s="135" t="inlineStr">
        <is>
          <t>D</t>
        </is>
      </c>
      <c r="G7" s="235">
        <f>'[1]Rank-สินค้าทั้งหมด'!J7</f>
        <v/>
      </c>
      <c r="H7" s="235">
        <f>'[1]Rank-สินค้าทั้งหมด'!K7</f>
        <v/>
      </c>
      <c r="I7" s="235">
        <f>'[1]Rank-สินค้าทั้งหมด'!L7</f>
        <v/>
      </c>
      <c r="J7" s="235">
        <f>'[1]Rank-สินค้าทั้งหมด'!M7</f>
        <v/>
      </c>
      <c r="K7" s="235">
        <f>'[1]Rank-สินค้าทั้งหมด'!N7</f>
        <v/>
      </c>
      <c r="L7" s="235">
        <f>'[1]Rank-สินค้าทั้งหมด'!O7</f>
        <v/>
      </c>
      <c r="M7" s="235">
        <f>'[1]Rank-สินค้าทั้งหมด'!P7</f>
        <v/>
      </c>
      <c r="N7" s="235">
        <f>'[1]Rank-สินค้าทั้งหมด'!Q7</f>
        <v/>
      </c>
      <c r="O7" s="137">
        <f>'[1]Rank-สินค้าทั้งหมด'!R7</f>
        <v/>
      </c>
      <c r="P7" s="235">
        <f>'[1]Rank-สินค้าทั้งหมด'!S7</f>
        <v/>
      </c>
      <c r="Q7" s="235">
        <f>'[1]Rank-สินค้าทั้งหมด'!T7</f>
        <v/>
      </c>
      <c r="R7" s="235">
        <f>'[1]Rank-สินค้าทั้งหมด'!U7</f>
        <v/>
      </c>
      <c r="S7" s="235">
        <f>'[1]Rank-สินค้าทั้งหมด'!V7</f>
        <v/>
      </c>
      <c r="T7" s="235">
        <f>'[1]Rank-สินค้าทั้งหมด'!W7</f>
        <v/>
      </c>
      <c r="U7" s="235">
        <f>'[1]Rank-สินค้าทั้งหมด'!X7</f>
        <v/>
      </c>
      <c r="V7" s="235">
        <f>'[1]Rank-สินค้าทั้งหมด'!Y7</f>
        <v/>
      </c>
      <c r="W7" s="137">
        <f>'[1]Rank-สินค้าทั้งหมด'!Z7</f>
        <v/>
      </c>
    </row>
    <row r="8" ht="17.4" customHeight="1">
      <c r="A8" s="210" t="inlineStr">
        <is>
          <t>จำนวนไอเทมสินค้าทั้งหมด</t>
        </is>
      </c>
      <c r="B8" s="223" t="n"/>
      <c r="C8" s="236">
        <f>'Rank-สินค้าทั้งหมด '!D8</f>
        <v/>
      </c>
    </row>
    <row r="9">
      <c r="V9" s="237" t="n"/>
    </row>
    <row r="10">
      <c r="V10" s="237" t="n"/>
    </row>
  </sheetData>
  <mergeCells count="12">
    <mergeCell ref="W1:W2"/>
    <mergeCell ref="H1:M1"/>
    <mergeCell ref="A7:B7"/>
    <mergeCell ref="P1:U1"/>
    <mergeCell ref="A1:C1"/>
    <mergeCell ref="G1:G2"/>
    <mergeCell ref="V1:V2"/>
    <mergeCell ref="E1:E2"/>
    <mergeCell ref="F1:F2"/>
    <mergeCell ref="A8:B8"/>
    <mergeCell ref="O1:O2"/>
    <mergeCell ref="N1:N2"/>
  </mergeCells>
  <pageMargins left="1" right="0.93" top="1" bottom="1" header="0.5" footer="0.5"/>
  <pageSetup orientation="landscape" paperSize="9" scale="65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DK13"/>
  <sheetViews>
    <sheetView topLeftCell="E1" zoomScaleNormal="100" workbookViewId="0">
      <pane ySplit="11" topLeftCell="A12" activePane="bottomLeft" state="frozen"/>
      <selection pane="bottomLeft" activeCell="P13" sqref="P13"/>
    </sheetView>
  </sheetViews>
  <sheetFormatPr baseColWidth="8" defaultRowHeight="19.2" customHeight="1"/>
  <cols>
    <col width="9.33203125" bestFit="1" customWidth="1" style="1" min="1" max="1"/>
    <col width="14.109375" customWidth="1" min="2" max="2"/>
    <col width="25.6640625" customWidth="1" min="3" max="3"/>
    <col width="39.109375" customWidth="1" style="179" min="4" max="4"/>
    <col width="14.33203125" customWidth="1" min="5" max="5"/>
    <col width="14.21875" customWidth="1" min="6" max="6"/>
    <col width="15.21875" customWidth="1" min="7" max="7"/>
    <col width="9.44140625" bestFit="1" customWidth="1" min="8" max="8"/>
    <col width="13.5546875" bestFit="1" customWidth="1" min="9" max="9"/>
    <col width="11.88671875" bestFit="1" customWidth="1" min="10" max="10"/>
    <col width="9.44140625" bestFit="1" customWidth="1" min="11" max="11"/>
    <col width="13.5546875" bestFit="1" customWidth="1" min="12" max="12"/>
    <col width="9.33203125" bestFit="1" customWidth="1" min="13" max="14"/>
    <col width="9.109375" customWidth="1" style="1" min="15" max="15"/>
    <col width="9.44140625" bestFit="1" customWidth="1" min="16" max="18"/>
    <col width="10.5546875" customWidth="1" min="19" max="24"/>
    <col width="11.33203125" bestFit="1" customWidth="1" min="25" max="25"/>
    <col width="9.44140625" bestFit="1" customWidth="1" min="26" max="51"/>
    <col width="11.33203125" bestFit="1" customWidth="1" min="52" max="52"/>
    <col width="11.33203125" customWidth="1" min="53" max="59"/>
    <col width="9.44140625" bestFit="1" customWidth="1" min="60" max="100"/>
    <col width="11.33203125" bestFit="1" customWidth="1" min="101" max="101"/>
    <col width="11.33203125" customWidth="1" min="102" max="108"/>
    <col width="10.77734375" bestFit="1" customWidth="1" min="109" max="112"/>
    <col width="9.77734375" bestFit="1" customWidth="1" min="113" max="113"/>
    <col width="10.21875" customWidth="1" min="115" max="115"/>
  </cols>
  <sheetData>
    <row r="1" ht="19.2" customHeight="1">
      <c r="B1" s="211" t="inlineStr">
        <is>
          <t>รวมทั้งบริษัท</t>
        </is>
      </c>
      <c r="C1" s="222" t="n"/>
      <c r="D1" s="223" t="n"/>
      <c r="H1" s="211" t="inlineStr">
        <is>
          <t>Total</t>
        </is>
      </c>
      <c r="I1" s="211" t="inlineStr">
        <is>
          <t>Rank</t>
        </is>
      </c>
      <c r="J1" s="238" t="inlineStr">
        <is>
          <t>จน.Item</t>
        </is>
      </c>
      <c r="K1" s="93" t="inlineStr">
        <is>
          <t>จำนวนชิ้น</t>
        </is>
      </c>
      <c r="L1" s="222" t="n"/>
      <c r="M1" s="222" t="n"/>
      <c r="N1" s="222" t="n"/>
      <c r="O1" s="222" t="n"/>
      <c r="P1" s="223" t="n"/>
      <c r="Q1" s="89" t="inlineStr">
        <is>
          <t>AV 6M</t>
        </is>
      </c>
      <c r="R1" s="90" t="inlineStr">
        <is>
          <t>คิดเป็น %</t>
        </is>
      </c>
      <c r="S1" s="96" t="inlineStr">
        <is>
          <t>จำนวนบาท</t>
        </is>
      </c>
      <c r="T1" s="222" t="n"/>
      <c r="U1" s="222" t="n"/>
      <c r="V1" s="222" t="n"/>
      <c r="W1" s="222" t="n"/>
      <c r="X1" s="223" t="n"/>
      <c r="Y1" s="91" t="inlineStr">
        <is>
          <t xml:space="preserve">SUM 6M </t>
        </is>
      </c>
      <c r="Z1" s="92" t="inlineStr">
        <is>
          <t>คิดเป็น %</t>
        </is>
      </c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0" t="n"/>
    </row>
    <row r="2" ht="19.2" customHeight="1">
      <c r="B2" s="211" t="inlineStr">
        <is>
          <t>Total</t>
        </is>
      </c>
      <c r="C2" s="211" t="inlineStr">
        <is>
          <t>Rank</t>
        </is>
      </c>
      <c r="D2" s="211" t="inlineStr">
        <is>
          <t>จน.Item</t>
        </is>
      </c>
      <c r="H2" s="224" t="n"/>
      <c r="I2" s="224" t="n"/>
      <c r="J2" s="224" t="n"/>
      <c r="K2" s="93" t="inlineStr">
        <is>
          <t>มี.ค.</t>
        </is>
      </c>
      <c r="L2" s="93" t="inlineStr">
        <is>
          <t>เม.ย.</t>
        </is>
      </c>
      <c r="M2" s="93" t="inlineStr">
        <is>
          <t>พ.ค.</t>
        </is>
      </c>
      <c r="N2" s="93" t="inlineStr">
        <is>
          <t>มิ.ย.</t>
        </is>
      </c>
      <c r="O2" s="93" t="inlineStr">
        <is>
          <t>ก.ค.</t>
        </is>
      </c>
      <c r="P2" s="93" t="inlineStr">
        <is>
          <t>ส.ค.</t>
        </is>
      </c>
      <c r="Q2" s="94" t="n"/>
      <c r="R2" s="95" t="n"/>
      <c r="S2" s="96" t="inlineStr">
        <is>
          <t>มี.ค.</t>
        </is>
      </c>
      <c r="T2" s="96" t="inlineStr">
        <is>
          <t>เม.ย.</t>
        </is>
      </c>
      <c r="U2" s="96" t="inlineStr">
        <is>
          <t>พ.ค.</t>
        </is>
      </c>
      <c r="V2" s="96" t="inlineStr">
        <is>
          <t>มิ.ย.</t>
        </is>
      </c>
      <c r="W2" s="96" t="inlineStr">
        <is>
          <t>ก.ค.</t>
        </is>
      </c>
      <c r="X2" s="96" t="inlineStr">
        <is>
          <t>ส.ค.</t>
        </is>
      </c>
      <c r="Y2" s="97" t="n"/>
      <c r="Z2" s="98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8" t="n"/>
      <c r="BI2" s="8" t="n"/>
      <c r="BJ2" s="8" t="n"/>
      <c r="BK2" s="8" t="n"/>
      <c r="BL2" s="8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  <c r="DH2" s="20" t="n"/>
    </row>
    <row r="3" ht="19.2" customHeight="1">
      <c r="B3" s="87" t="n">
        <v>1</v>
      </c>
      <c r="C3" s="83" t="inlineStr">
        <is>
          <t>เฉพาะรายการที่มียอดขายย้อนหลัง 6 เดือน</t>
        </is>
      </c>
      <c r="D3" s="225">
        <f>COUNTIF($BL$12:$BL$18025,"&gt;=0.01")</f>
        <v/>
      </c>
      <c r="F3" s="153" t="n"/>
      <c r="H3" s="82" t="n">
        <v>1</v>
      </c>
      <c r="I3" s="99" t="n"/>
      <c r="J3" s="239">
        <f>D3</f>
        <v/>
      </c>
      <c r="K3" s="240">
        <f>SUM(K4:K6)</f>
        <v/>
      </c>
      <c r="L3" s="240">
        <f>SUM(L4:L6)</f>
        <v/>
      </c>
      <c r="M3" s="240">
        <f>SUM(M4:M6)</f>
        <v/>
      </c>
      <c r="N3" s="240">
        <f>SUM(N4:N6)</f>
        <v/>
      </c>
      <c r="O3" s="240">
        <f>SUM(O4:O6)</f>
        <v/>
      </c>
      <c r="P3" s="240">
        <f>SUM(P4:P6)</f>
        <v/>
      </c>
      <c r="Q3" s="241">
        <f>AVERAGE(K3:P3)</f>
        <v/>
      </c>
      <c r="R3" s="103" t="n">
        <v>1</v>
      </c>
      <c r="S3" s="104">
        <f>SUM(S4:S6)</f>
        <v/>
      </c>
      <c r="T3" s="104">
        <f>SUM(T4:T6)</f>
        <v/>
      </c>
      <c r="U3" s="104">
        <f>SUM(U4:U6)</f>
        <v/>
      </c>
      <c r="V3" s="104">
        <f>SUM(V4:V6)</f>
        <v/>
      </c>
      <c r="W3" s="104">
        <f>SUM(W4:W6)</f>
        <v/>
      </c>
      <c r="X3" s="104">
        <f>SUM(X4:X6)</f>
        <v/>
      </c>
      <c r="Y3" s="242">
        <f>SUM(S3:X3)</f>
        <v/>
      </c>
      <c r="Z3" s="106" t="n">
        <v>1</v>
      </c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4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0" t="n"/>
    </row>
    <row r="4" ht="19.2" customHeight="1">
      <c r="B4" s="88">
        <f>$D4/$D$3</f>
        <v/>
      </c>
      <c r="C4" s="86" t="inlineStr">
        <is>
          <t>A</t>
        </is>
      </c>
      <c r="D4" s="243" t="n">
        <v>516</v>
      </c>
      <c r="F4" s="153">
        <f>COUNTIF(BL12:BL19884,"&gt;=2.5")</f>
        <v/>
      </c>
      <c r="H4" s="85" t="n">
        <v>0.1736</v>
      </c>
      <c r="I4" s="3" t="inlineStr">
        <is>
          <t>A</t>
        </is>
      </c>
      <c r="J4" s="244">
        <f>D4</f>
        <v/>
      </c>
      <c r="K4" s="244">
        <f>SUMIF($O$12:$O$18025,$I4,BB$12:BB$18025)</f>
        <v/>
      </c>
      <c r="L4" s="244">
        <f>SUMIF($O$12:$O$18025,$I4,BC$12:BC$18025)</f>
        <v/>
      </c>
      <c r="M4" s="244">
        <f>SUMIF($O$12:$O$18025,$I4,BD$12:BD$18025)</f>
        <v/>
      </c>
      <c r="N4" s="244">
        <f>SUMIF($O$12:$O$18025,$I4,BE$12:BE$18025)</f>
        <v/>
      </c>
      <c r="O4" s="244">
        <f>SUMIF($O$12:$O$18025,$I4,BF$12:BF$18025)</f>
        <v/>
      </c>
      <c r="P4" s="244">
        <f>SUMIF($O$12:$O$18025,$I4,BG$12:BG$18025)</f>
        <v/>
      </c>
      <c r="Q4" s="245">
        <f>AVERAGE(K4:P4)</f>
        <v/>
      </c>
      <c r="R4" s="108">
        <f>Q4/$Q$3*$R$3</f>
        <v/>
      </c>
      <c r="S4" s="109">
        <f>SUMIF($O$12:$O$16861,$I4,CY$12:CY$18025)</f>
        <v/>
      </c>
      <c r="T4" s="109">
        <f>SUMIF($O$12:$O$16861,$I4,CZ$12:CZ$18025)</f>
        <v/>
      </c>
      <c r="U4" s="109">
        <f>SUMIF($O$12:$O$16861,$I4,DA$12:DA$18025)</f>
        <v/>
      </c>
      <c r="V4" s="109">
        <f>SUMIF($O$12:$O$16861,$I4,DB$12:DB$18025)</f>
        <v/>
      </c>
      <c r="W4" s="109">
        <f>SUMIF($O$12:$O$16861,$I4,DC$12:DC$18025)</f>
        <v/>
      </c>
      <c r="X4" s="109">
        <f>SUMIF($O$12:$O$16861,$I4,DD$12:DD$18025)</f>
        <v/>
      </c>
      <c r="Y4" s="245">
        <f>SUM(S4:X4)</f>
        <v/>
      </c>
      <c r="Z4" s="108">
        <f>$Y4/$Y$3*$Z$3</f>
        <v/>
      </c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  <c r="BC4" s="23" t="n"/>
      <c r="BD4" s="23" t="n"/>
      <c r="BE4" s="23" t="n"/>
      <c r="BF4" s="23" t="n"/>
      <c r="BG4" s="23" t="n"/>
      <c r="BH4" s="19" t="n"/>
      <c r="BI4" s="19" t="n"/>
      <c r="BJ4" s="19" t="n"/>
      <c r="BK4" s="19" t="n"/>
      <c r="BL4" s="19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0" t="n"/>
    </row>
    <row r="5" ht="19.2" customHeight="1">
      <c r="B5" s="88">
        <f>$D5/$D$3</f>
        <v/>
      </c>
      <c r="C5" s="86" t="inlineStr">
        <is>
          <t>B</t>
        </is>
      </c>
      <c r="D5" s="243" t="n">
        <v>1147</v>
      </c>
      <c r="F5" s="153">
        <f>COUNTIFS(BL12:BL19884,"&gt;=0.5",BL12:BL19884,"&lt;=2.49")</f>
        <v/>
      </c>
      <c r="H5" s="85" t="n">
        <v>0.3395</v>
      </c>
      <c r="I5" s="3" t="inlineStr">
        <is>
          <t>B</t>
        </is>
      </c>
      <c r="J5" s="244">
        <f>D5</f>
        <v/>
      </c>
      <c r="K5" s="244">
        <f>SUMIF($O$12:$O$18025,$I5,BB$12:BB$18025)</f>
        <v/>
      </c>
      <c r="L5" s="244">
        <f>SUMIF($O$12:$O$18025,$I5,BC$12:BC$18025)</f>
        <v/>
      </c>
      <c r="M5" s="244">
        <f>SUMIF($O$12:$O$18025,$I5,BD$12:BD$18025)</f>
        <v/>
      </c>
      <c r="N5" s="244">
        <f>SUMIF($O$12:$O$18025,$I5,BE$12:BE$18025)</f>
        <v/>
      </c>
      <c r="O5" s="244">
        <f>SUMIF($O$12:$O$18025,$I5,BF$12:BF$18025)</f>
        <v/>
      </c>
      <c r="P5" s="244">
        <f>SUMIF($O$12:$O$18025,$I5,BG$12:BG$18025)</f>
        <v/>
      </c>
      <c r="Q5" s="245">
        <f>AVERAGE(K5:P5)</f>
        <v/>
      </c>
      <c r="R5" s="108">
        <f>Q5/$Q$3*$R$3</f>
        <v/>
      </c>
      <c r="S5" s="109">
        <f>SUMIF($O$12:$O$16861,$I5,CY$12:CY$18025)</f>
        <v/>
      </c>
      <c r="T5" s="109">
        <f>SUMIF($O$12:$O$16861,$I5,CZ$12:CZ$18025)</f>
        <v/>
      </c>
      <c r="U5" s="109">
        <f>SUMIF($O$12:$O$16861,$I5,DA$12:DA$18025)</f>
        <v/>
      </c>
      <c r="V5" s="109">
        <f>SUMIF($O$12:$O$16861,$I5,DB$12:DB$18025)</f>
        <v/>
      </c>
      <c r="W5" s="109">
        <f>SUMIF($O$12:$O$16861,$I5,DC$12:DC$18025)</f>
        <v/>
      </c>
      <c r="X5" s="109">
        <f>SUMIF($O$12:$O$16861,$I5,DD$12:DD$18025)</f>
        <v/>
      </c>
      <c r="Y5" s="245">
        <f>SUM(S5:X5)</f>
        <v/>
      </c>
      <c r="Z5" s="108">
        <f>$Y5/$Y$3*$Z$3</f>
        <v/>
      </c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19" t="n"/>
      <c r="BI5" s="19" t="n"/>
      <c r="BJ5" s="19" t="n"/>
      <c r="BK5" s="19" t="n"/>
      <c r="BL5" s="19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0" t="n"/>
    </row>
    <row r="6" ht="19.2" customHeight="1">
      <c r="B6" s="88">
        <f>$D6/$D$3</f>
        <v/>
      </c>
      <c r="C6" s="86" t="inlineStr">
        <is>
          <t>C</t>
        </is>
      </c>
      <c r="D6" s="243" t="n">
        <v>1590</v>
      </c>
      <c r="F6" s="153">
        <f>COUNTIFS(BL12:BL19884,"&gt;=0.1",BL12:BL19884,"&lt;=0.49")</f>
        <v/>
      </c>
      <c r="H6" s="110" t="n">
        <v>0.4869</v>
      </c>
      <c r="I6" s="111" t="inlineStr">
        <is>
          <t>C</t>
        </is>
      </c>
      <c r="J6" s="244">
        <f>D6</f>
        <v/>
      </c>
      <c r="K6" s="244">
        <f>SUMIF($O$12:$O$18025,$I6,BB$12:BB$18025)</f>
        <v/>
      </c>
      <c r="L6" s="244">
        <f>SUMIF($O$12:$O$18025,$I6,BC$12:BC$18025)</f>
        <v/>
      </c>
      <c r="M6" s="244">
        <f>SUMIF($O$12:$O$18025,$I6,BD$12:BD$18025)</f>
        <v/>
      </c>
      <c r="N6" s="244">
        <f>SUMIF($O$12:$O$18025,$I6,BE$12:BE$18025)</f>
        <v/>
      </c>
      <c r="O6" s="244">
        <f>SUMIF($O$12:$O$18025,$I6,BF$12:BF$18025)</f>
        <v/>
      </c>
      <c r="P6" s="244">
        <f>SUMIF($O$12:$O$18025,$I6,BG$12:BG$18025)</f>
        <v/>
      </c>
      <c r="Q6" s="245">
        <f>AVERAGE(K6:P6)</f>
        <v/>
      </c>
      <c r="R6" s="108">
        <f>Q6/$Q$3*$R$3</f>
        <v/>
      </c>
      <c r="S6" s="109">
        <f>SUMIF($O$12:$O$16861,$I6,CY$12:CY$18025)</f>
        <v/>
      </c>
      <c r="T6" s="109">
        <f>SUMIF($O$12:$O$16861,$I6,CZ$12:CZ$18025)</f>
        <v/>
      </c>
      <c r="U6" s="109">
        <f>SUMIF($O$12:$O$16861,$I6,DA$12:DA$18025)</f>
        <v/>
      </c>
      <c r="V6" s="109">
        <f>SUMIF($O$12:$O$16861,$I6,DB$12:DB$18025)</f>
        <v/>
      </c>
      <c r="W6" s="109">
        <f>SUMIF($O$12:$O$16861,$I6,DC$12:DC$18025)</f>
        <v/>
      </c>
      <c r="X6" s="109">
        <f>SUMIF($O$12:$O$16861,$I6,DD$12:DD$18025)</f>
        <v/>
      </c>
      <c r="Y6" s="245">
        <f>SUM(S6:X6)</f>
        <v/>
      </c>
      <c r="Z6" s="108">
        <f>$Y6/$Y$3*$Z$3</f>
        <v/>
      </c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19" t="n"/>
      <c r="BI6" s="19" t="n"/>
      <c r="BJ6" s="19" t="n"/>
      <c r="BK6" s="19" t="n"/>
      <c r="BL6" s="19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0" t="n"/>
    </row>
    <row r="7" ht="19.2" customHeight="1">
      <c r="B7" s="246" t="inlineStr">
        <is>
          <t>รายการไม่มียอดขาย ย้อนหลัง 6 เดือน</t>
        </is>
      </c>
      <c r="C7" s="247" t="n"/>
      <c r="D7" s="234">
        <f>D8-D3</f>
        <v/>
      </c>
      <c r="F7" s="248">
        <f>COUNTIF($BL$12:$BL$18012,"&lt;=0")</f>
        <v/>
      </c>
      <c r="H7" s="2" t="n"/>
      <c r="I7" s="3" t="n"/>
      <c r="J7" s="244" t="n"/>
      <c r="K7" s="244" t="n"/>
      <c r="L7" s="244" t="n"/>
      <c r="M7" s="244" t="n"/>
      <c r="N7" s="244" t="n"/>
      <c r="O7" s="244" t="n"/>
      <c r="P7" s="26" t="n"/>
      <c r="Q7" s="244" t="n"/>
      <c r="R7" s="27" t="n"/>
      <c r="S7" s="26" t="n"/>
      <c r="T7" s="26" t="n"/>
      <c r="U7" s="26" t="n"/>
      <c r="V7" s="26" t="n"/>
      <c r="W7" s="26" t="n"/>
      <c r="X7" s="26" t="n"/>
      <c r="Y7" s="244" t="n"/>
      <c r="Z7" s="27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19" t="n"/>
      <c r="BI7" s="19" t="n"/>
      <c r="BJ7" s="19" t="n"/>
      <c r="BK7" s="19" t="n"/>
      <c r="BL7" s="19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0" t="n"/>
    </row>
    <row r="8" ht="19.2" customHeight="1">
      <c r="B8" s="249" t="inlineStr">
        <is>
          <t>จำนวนไอเทมสินค้าทั้งหมด</t>
        </is>
      </c>
      <c r="C8" s="223" t="n"/>
      <c r="D8" s="250">
        <f>COUNT(A12:A19884)</f>
        <v/>
      </c>
      <c r="F8" s="153" t="n"/>
      <c r="K8" s="1" t="n"/>
      <c r="M8" s="1" t="n"/>
      <c r="N8" s="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0" t="n"/>
    </row>
    <row r="9" ht="19.2" customHeight="1">
      <c r="C9" s="1" t="n"/>
      <c r="E9" s="112" t="n"/>
      <c r="G9" s="1" t="n"/>
      <c r="I9" s="1" t="n"/>
      <c r="K9" s="1" t="n"/>
      <c r="M9" s="1" t="n"/>
      <c r="Q9" s="1" t="n"/>
      <c r="S9" s="1" t="n"/>
      <c r="U9" s="1" t="n"/>
      <c r="W9" s="1" t="n"/>
      <c r="Y9" s="1" t="n"/>
      <c r="AA9" s="1" t="n"/>
      <c r="AC9" s="1" t="n"/>
      <c r="AE9" s="1" t="n"/>
      <c r="AG9" s="1" t="n"/>
      <c r="AI9" s="1" t="n"/>
      <c r="AK9" s="1" t="n"/>
      <c r="AM9" s="1" t="n"/>
      <c r="AO9" s="1" t="n"/>
      <c r="AQ9" s="1" t="n"/>
      <c r="AS9" s="1" t="n"/>
      <c r="AU9" s="1" t="n"/>
      <c r="AW9" s="1" t="n"/>
      <c r="AY9" s="1" t="n"/>
      <c r="BI9" s="1" t="n"/>
      <c r="BK9" s="1" t="n"/>
      <c r="BM9" s="1" t="n"/>
      <c r="BO9" s="1" t="n"/>
      <c r="BQ9" s="1" t="n"/>
      <c r="BS9" s="1" t="n"/>
      <c r="BU9" s="1" t="n"/>
      <c r="BW9" s="1" t="n"/>
      <c r="BY9" s="1" t="n"/>
      <c r="CA9" s="1" t="n"/>
      <c r="CC9" s="1" t="n"/>
      <c r="CE9" s="1" t="n"/>
      <c r="CG9" s="1" t="n"/>
      <c r="CI9" s="1" t="n"/>
      <c r="CK9" s="1" t="n"/>
      <c r="CM9" s="1" t="n"/>
      <c r="CO9" s="1" t="n"/>
      <c r="CQ9" s="1" t="n"/>
      <c r="CS9" s="1" t="n"/>
      <c r="CU9" s="1" t="n"/>
      <c r="CW9" s="1" t="n"/>
      <c r="CX9" s="1" t="n"/>
      <c r="CY9" s="1" t="n"/>
      <c r="CZ9" s="1" t="n"/>
      <c r="DA9" s="1" t="n"/>
      <c r="DB9" s="1" t="n"/>
      <c r="DC9" s="1" t="n"/>
      <c r="DD9" s="1" t="n"/>
      <c r="DF9" s="1" t="n"/>
      <c r="DH9" s="1" t="n"/>
      <c r="DJ9" s="1" t="n"/>
    </row>
    <row r="10" ht="19.2" customFormat="1" customHeight="1" s="11">
      <c r="A10" s="210" t="inlineStr">
        <is>
          <t>ลำดับ</t>
        </is>
      </c>
      <c r="B10" s="10" t="inlineStr">
        <is>
          <t>Category</t>
        </is>
      </c>
      <c r="C10" s="12" t="inlineStr">
        <is>
          <t>Product Code</t>
        </is>
      </c>
      <c r="D10" s="210" t="inlineStr">
        <is>
          <t>Description</t>
        </is>
      </c>
      <c r="E10" s="210" t="inlineStr">
        <is>
          <t>ยี่ห้อ</t>
        </is>
      </c>
      <c r="F10" s="210" t="inlineStr">
        <is>
          <t>รุ่น</t>
        </is>
      </c>
      <c r="G10" s="10" t="inlineStr">
        <is>
          <t>ประเภทสินค้า</t>
        </is>
      </c>
      <c r="H10" s="13" t="inlineStr">
        <is>
          <t>List Price</t>
        </is>
      </c>
      <c r="I10" s="18" t="inlineStr">
        <is>
          <t>Member</t>
        </is>
      </c>
      <c r="J10" s="17" t="inlineStr">
        <is>
          <t>Wholesale General</t>
        </is>
      </c>
      <c r="K10" s="10" t="inlineStr">
        <is>
          <t>สต๊อกคงเหลือ</t>
        </is>
      </c>
      <c r="L10" s="251" t="inlineStr">
        <is>
          <t>มูลค่าสินค้า</t>
        </is>
      </c>
      <c r="M10" s="18" t="inlineStr">
        <is>
          <t>Vender</t>
        </is>
      </c>
      <c r="N10" s="17" t="inlineStr">
        <is>
          <t>สินค้าโครงการ Rank C / D</t>
        </is>
      </c>
      <c r="O10" s="17" t="inlineStr">
        <is>
          <t>Rank สินค้าปัจุบัน</t>
        </is>
      </c>
      <c r="P10" s="189" t="inlineStr">
        <is>
          <t>ขาย (ชิ้น/เดือน) 2023</t>
        </is>
      </c>
      <c r="Q10" s="222" t="n"/>
      <c r="R10" s="222" t="n"/>
      <c r="S10" s="222" t="n"/>
      <c r="T10" s="222" t="n"/>
      <c r="U10" s="222" t="n"/>
      <c r="V10" s="222" t="n"/>
      <c r="W10" s="222" t="n"/>
      <c r="X10" s="222" t="n"/>
      <c r="Y10" s="222" t="n"/>
      <c r="Z10" s="222" t="n"/>
      <c r="AA10" s="222" t="n"/>
      <c r="AB10" s="189" t="inlineStr">
        <is>
          <t>ขาย (ชิ้น/เดือน) 2024</t>
        </is>
      </c>
      <c r="AC10" s="222" t="n"/>
      <c r="AD10" s="222" t="n"/>
      <c r="AE10" s="222" t="n"/>
      <c r="AF10" s="222" t="n"/>
      <c r="AG10" s="222" t="n"/>
      <c r="AH10" s="222" t="n"/>
      <c r="AI10" s="222" t="n"/>
      <c r="AJ10" s="222" t="n"/>
      <c r="AK10" s="222" t="n"/>
      <c r="AL10" s="222" t="n"/>
      <c r="AM10" s="222" t="n"/>
      <c r="AN10" s="10" t="inlineStr">
        <is>
          <t>ขาย (ชิ้น/เดือน) 2025</t>
        </is>
      </c>
      <c r="AO10" s="222" t="n"/>
      <c r="AP10" s="222" t="n"/>
      <c r="AQ10" s="222" t="n"/>
      <c r="AR10" s="222" t="n"/>
      <c r="AS10" s="222" t="n"/>
      <c r="AT10" s="222" t="n"/>
      <c r="AU10" s="222" t="n"/>
      <c r="AV10" s="222" t="n"/>
      <c r="AW10" s="222" t="n"/>
      <c r="AX10" s="222" t="n"/>
      <c r="AY10" s="223" t="n"/>
      <c r="AZ10" s="189" t="inlineStr">
        <is>
          <t>ขาย (ชิ้น/เดือน) 2026</t>
        </is>
      </c>
      <c r="BA10" s="222" t="n"/>
      <c r="BB10" s="222" t="n"/>
      <c r="BC10" s="222" t="n"/>
      <c r="BD10" s="222" t="n"/>
      <c r="BE10" s="222" t="n"/>
      <c r="BF10" s="222" t="n"/>
      <c r="BG10" s="222" t="n"/>
      <c r="BH10" s="208" t="n"/>
      <c r="BI10" s="222" t="n"/>
      <c r="BJ10" s="222" t="n"/>
      <c r="BK10" s="222" t="n"/>
      <c r="BL10" s="223" t="n"/>
      <c r="BM10" s="252" t="inlineStr">
        <is>
          <t>ขาย (บาท/เดือน) 2023</t>
        </is>
      </c>
      <c r="BN10" s="222" t="n"/>
      <c r="BO10" s="222" t="n"/>
      <c r="BP10" s="222" t="n"/>
      <c r="BQ10" s="222" t="n"/>
      <c r="BR10" s="222" t="n"/>
      <c r="BS10" s="222" t="n"/>
      <c r="BT10" s="222" t="n"/>
      <c r="BU10" s="222" t="n"/>
      <c r="BV10" s="222" t="n"/>
      <c r="BW10" s="222" t="n"/>
      <c r="BX10" s="223" t="n"/>
      <c r="BY10" s="206" t="inlineStr">
        <is>
          <t>ขาย (บาท/เดือน) 2024</t>
        </is>
      </c>
      <c r="BZ10" s="222" t="n"/>
      <c r="CA10" s="222" t="n"/>
      <c r="CB10" s="222" t="n"/>
      <c r="CC10" s="222" t="n"/>
      <c r="CD10" s="222" t="n"/>
      <c r="CE10" s="222" t="n"/>
      <c r="CF10" s="222" t="n"/>
      <c r="CG10" s="222" t="n"/>
      <c r="CH10" s="222" t="n"/>
      <c r="CI10" s="222" t="n"/>
      <c r="CJ10" s="222" t="n"/>
      <c r="CK10" s="252" t="inlineStr">
        <is>
          <t>ขาย (บาท/เดือน) 2025</t>
        </is>
      </c>
      <c r="CL10" s="222" t="n"/>
      <c r="CM10" s="222" t="n"/>
      <c r="CN10" s="222" t="n"/>
      <c r="CO10" s="222" t="n"/>
      <c r="CP10" s="222" t="n"/>
      <c r="CQ10" s="222" t="n"/>
      <c r="CR10" s="222" t="n"/>
      <c r="CS10" s="222" t="n"/>
      <c r="CT10" s="222" t="n"/>
      <c r="CU10" s="222" t="n"/>
      <c r="CV10" s="223" t="n"/>
      <c r="CW10" s="205" t="inlineStr">
        <is>
          <t>ขาย (บาท/เดือน) 2026</t>
        </is>
      </c>
      <c r="CX10" s="222" t="n"/>
      <c r="CY10" s="222" t="n"/>
      <c r="CZ10" s="222" t="n"/>
      <c r="DA10" s="222" t="n"/>
      <c r="DB10" s="222" t="n"/>
      <c r="DC10" s="222" t="n"/>
      <c r="DD10" s="222" t="n"/>
      <c r="DE10" s="149" t="n"/>
      <c r="DF10" s="149" t="n"/>
      <c r="DG10" s="149" t="n"/>
      <c r="DH10" s="149" t="n"/>
      <c r="DI10" s="150" t="n"/>
      <c r="DJ10" s="10" t="inlineStr">
        <is>
          <t>New Product</t>
        </is>
      </c>
      <c r="DK10" s="144" t="inlineStr">
        <is>
          <t>บาร์ BOM TYPE</t>
        </is>
      </c>
    </row>
    <row r="11" ht="19.2" customFormat="1" customHeight="1" s="8">
      <c r="A11" s="6" t="n"/>
      <c r="B11" s="7" t="n"/>
      <c r="C11" s="6" t="n"/>
      <c r="D11" s="15" t="n"/>
      <c r="E11" s="7" t="n"/>
      <c r="F11" s="7" t="n"/>
      <c r="G11" s="7" t="n"/>
      <c r="H11" s="7" t="n"/>
      <c r="I11" s="7" t="n"/>
      <c r="J11" s="7" t="n"/>
      <c r="K11" s="6" t="n"/>
      <c r="L11" s="253" t="inlineStr">
        <is>
          <t>จำนวนคงเหลือxราคาส่ง</t>
        </is>
      </c>
      <c r="M11" s="145" t="n"/>
      <c r="N11" s="6" t="n"/>
      <c r="O11" s="6" t="n"/>
      <c r="P11" s="254" t="inlineStr">
        <is>
          <t>ม.ค.</t>
        </is>
      </c>
      <c r="Q11" s="254" t="inlineStr">
        <is>
          <t>ก.พ.</t>
        </is>
      </c>
      <c r="R11" s="254" t="inlineStr">
        <is>
          <t>มี.ค.</t>
        </is>
      </c>
      <c r="S11" s="254" t="inlineStr">
        <is>
          <t>เม.ย.</t>
        </is>
      </c>
      <c r="T11" s="254" t="inlineStr">
        <is>
          <t>พ.ค.</t>
        </is>
      </c>
      <c r="U11" s="254" t="inlineStr">
        <is>
          <t>มิ.ย.</t>
        </is>
      </c>
      <c r="V11" s="254" t="inlineStr">
        <is>
          <t>ก.ค.</t>
        </is>
      </c>
      <c r="W11" s="254" t="inlineStr">
        <is>
          <t>ส.ค.</t>
        </is>
      </c>
      <c r="X11" s="254" t="inlineStr">
        <is>
          <t>ก.ย.</t>
        </is>
      </c>
      <c r="Y11" s="254" t="inlineStr">
        <is>
          <t>ต.ค.</t>
        </is>
      </c>
      <c r="Z11" s="254" t="inlineStr">
        <is>
          <t>พ.ย.</t>
        </is>
      </c>
      <c r="AA11" s="254" t="inlineStr">
        <is>
          <t>ธ.ค.</t>
        </is>
      </c>
      <c r="AB11" s="7" t="inlineStr">
        <is>
          <t>ม.ค.</t>
        </is>
      </c>
      <c r="AC11" s="7" t="inlineStr">
        <is>
          <t>ก.พ.</t>
        </is>
      </c>
      <c r="AD11" s="7" t="inlineStr">
        <is>
          <t>มี.ค.</t>
        </is>
      </c>
      <c r="AE11" s="7" t="inlineStr">
        <is>
          <t>เม.ย.</t>
        </is>
      </c>
      <c r="AF11" s="7" t="inlineStr">
        <is>
          <t>พ.ค.</t>
        </is>
      </c>
      <c r="AG11" s="7" t="inlineStr">
        <is>
          <t>มิ.ย.</t>
        </is>
      </c>
      <c r="AH11" s="7" t="inlineStr">
        <is>
          <t>ก.ค.</t>
        </is>
      </c>
      <c r="AI11" s="7" t="inlineStr">
        <is>
          <t>ส.ค.</t>
        </is>
      </c>
      <c r="AJ11" s="7" t="inlineStr">
        <is>
          <t>ก.ย.</t>
        </is>
      </c>
      <c r="AK11" s="7" t="inlineStr">
        <is>
          <t>ต.ค.</t>
        </is>
      </c>
      <c r="AL11" s="7" t="inlineStr">
        <is>
          <t>พ.ย.</t>
        </is>
      </c>
      <c r="AM11" s="7" t="inlineStr">
        <is>
          <t>ธ.ค.</t>
        </is>
      </c>
      <c r="AN11" s="7" t="inlineStr">
        <is>
          <t>ม.ค.</t>
        </is>
      </c>
      <c r="AO11" s="7" t="inlineStr">
        <is>
          <t>ก.พ.</t>
        </is>
      </c>
      <c r="AP11" s="7" t="inlineStr">
        <is>
          <t>มี.ค.</t>
        </is>
      </c>
      <c r="AQ11" s="7" t="inlineStr">
        <is>
          <t>เม.ย.</t>
        </is>
      </c>
      <c r="AR11" s="7" t="inlineStr">
        <is>
          <t>พ.ค.</t>
        </is>
      </c>
      <c r="AS11" s="7" t="inlineStr">
        <is>
          <t>มิ.ย.</t>
        </is>
      </c>
      <c r="AT11" s="7" t="inlineStr">
        <is>
          <t>ก.ค.</t>
        </is>
      </c>
      <c r="AU11" s="7" t="inlineStr">
        <is>
          <t>ส.ค.</t>
        </is>
      </c>
      <c r="AV11" s="7" t="inlineStr">
        <is>
          <t>ก.ย.</t>
        </is>
      </c>
      <c r="AW11" s="7" t="inlineStr">
        <is>
          <t>ต.ค.</t>
        </is>
      </c>
      <c r="AX11" s="7" t="inlineStr">
        <is>
          <t>พ.ย.</t>
        </is>
      </c>
      <c r="AY11" s="7" t="inlineStr">
        <is>
          <t>ธ.ค.</t>
        </is>
      </c>
      <c r="AZ11" s="7" t="inlineStr">
        <is>
          <t>ม.ค.</t>
        </is>
      </c>
      <c r="BA11" s="7" t="inlineStr">
        <is>
          <t>ก.พ.</t>
        </is>
      </c>
      <c r="BB11" s="7" t="inlineStr">
        <is>
          <t>มี.ค.</t>
        </is>
      </c>
      <c r="BC11" s="7" t="inlineStr">
        <is>
          <t>เม.ย.</t>
        </is>
      </c>
      <c r="BD11" s="7" t="inlineStr">
        <is>
          <t>พ.ค.</t>
        </is>
      </c>
      <c r="BE11" s="7" t="inlineStr">
        <is>
          <t>มิ.ย.</t>
        </is>
      </c>
      <c r="BF11" s="7" t="inlineStr">
        <is>
          <t>ก.ค.</t>
        </is>
      </c>
      <c r="BG11" s="7" t="inlineStr">
        <is>
          <t>ส.ค.</t>
        </is>
      </c>
      <c r="BH11" s="152" t="inlineStr">
        <is>
          <t>AV Y2023</t>
        </is>
      </c>
      <c r="BI11" s="152" t="inlineStr">
        <is>
          <t>AV Y2024</t>
        </is>
      </c>
      <c r="BJ11" s="152" t="inlineStr">
        <is>
          <t>AV Y2025</t>
        </is>
      </c>
      <c r="BK11" s="152" t="inlineStr">
        <is>
          <t>AV Y2026</t>
        </is>
      </c>
      <c r="BL11" s="152" t="inlineStr">
        <is>
          <t>AV 6M</t>
        </is>
      </c>
      <c r="BM11" s="6" t="inlineStr">
        <is>
          <t>ม.ค.</t>
        </is>
      </c>
      <c r="BN11" s="6" t="inlineStr">
        <is>
          <t>ก.พ.</t>
        </is>
      </c>
      <c r="BO11" s="6" t="inlineStr">
        <is>
          <t>มี.ค.</t>
        </is>
      </c>
      <c r="BP11" s="6" t="inlineStr">
        <is>
          <t>เม.ย.</t>
        </is>
      </c>
      <c r="BQ11" s="6" t="inlineStr">
        <is>
          <t>พ.ค.</t>
        </is>
      </c>
      <c r="BR11" s="6" t="inlineStr">
        <is>
          <t>มิ.ย.</t>
        </is>
      </c>
      <c r="BS11" s="6" t="inlineStr">
        <is>
          <t>ก.ค.</t>
        </is>
      </c>
      <c r="BT11" s="6" t="inlineStr">
        <is>
          <t>ส.ค.</t>
        </is>
      </c>
      <c r="BU11" s="6" t="inlineStr">
        <is>
          <t>ก.ย.</t>
        </is>
      </c>
      <c r="BV11" s="6" t="inlineStr">
        <is>
          <t>ต.ค.</t>
        </is>
      </c>
      <c r="BW11" s="6" t="inlineStr">
        <is>
          <t>พ.ย.</t>
        </is>
      </c>
      <c r="BX11" s="6" t="inlineStr">
        <is>
          <t>ธ.ค.</t>
        </is>
      </c>
      <c r="BY11" s="6" t="inlineStr">
        <is>
          <t>ม.ค.</t>
        </is>
      </c>
      <c r="BZ11" s="6" t="inlineStr">
        <is>
          <t>ก.พ.</t>
        </is>
      </c>
      <c r="CA11" s="6" t="inlineStr">
        <is>
          <t>มี.ค.</t>
        </is>
      </c>
      <c r="CB11" s="6" t="inlineStr">
        <is>
          <t>เม.ย.</t>
        </is>
      </c>
      <c r="CC11" s="6" t="inlineStr">
        <is>
          <t>พ.ค.</t>
        </is>
      </c>
      <c r="CD11" s="6" t="inlineStr">
        <is>
          <t>มิ.ย.</t>
        </is>
      </c>
      <c r="CE11" s="6" t="inlineStr">
        <is>
          <t>ก.ค.</t>
        </is>
      </c>
      <c r="CF11" s="6" t="inlineStr">
        <is>
          <t>ส.ค.</t>
        </is>
      </c>
      <c r="CG11" s="6" t="inlineStr">
        <is>
          <t>ก.ย.</t>
        </is>
      </c>
      <c r="CH11" s="6" t="inlineStr">
        <is>
          <t>ต.ค.</t>
        </is>
      </c>
      <c r="CI11" s="6" t="inlineStr">
        <is>
          <t>พ.ย.</t>
        </is>
      </c>
      <c r="CJ11" s="6" t="inlineStr">
        <is>
          <t>ธ.ค.</t>
        </is>
      </c>
      <c r="CK11" s="6" t="inlineStr">
        <is>
          <t>ม.ค.</t>
        </is>
      </c>
      <c r="CL11" s="6" t="inlineStr">
        <is>
          <t>ก.พ.</t>
        </is>
      </c>
      <c r="CM11" s="6" t="inlineStr">
        <is>
          <t>มี.ค.</t>
        </is>
      </c>
      <c r="CN11" s="6" t="inlineStr">
        <is>
          <t>เม.ย.</t>
        </is>
      </c>
      <c r="CO11" s="6" t="inlineStr">
        <is>
          <t>พ.ค.</t>
        </is>
      </c>
      <c r="CP11" s="6" t="inlineStr">
        <is>
          <t>มิ.ย.</t>
        </is>
      </c>
      <c r="CQ11" s="6" t="inlineStr">
        <is>
          <t>ก.ค.</t>
        </is>
      </c>
      <c r="CR11" s="6" t="inlineStr">
        <is>
          <t>ส.ค.</t>
        </is>
      </c>
      <c r="CS11" s="6" t="inlineStr">
        <is>
          <t>ก.ย.</t>
        </is>
      </c>
      <c r="CT11" s="6" t="inlineStr">
        <is>
          <t>ต.ค.</t>
        </is>
      </c>
      <c r="CU11" s="6" t="inlineStr">
        <is>
          <t>พ.ย.</t>
        </is>
      </c>
      <c r="CV11" s="6" t="inlineStr">
        <is>
          <t>ธ.ค.</t>
        </is>
      </c>
      <c r="CW11" s="6" t="inlineStr">
        <is>
          <t>ม.ค.</t>
        </is>
      </c>
      <c r="CX11" s="6" t="inlineStr">
        <is>
          <t>ก.พ.</t>
        </is>
      </c>
      <c r="CY11" s="6" t="inlineStr">
        <is>
          <t>มี.ค.</t>
        </is>
      </c>
      <c r="CZ11" s="6" t="inlineStr">
        <is>
          <t>เม.ย.</t>
        </is>
      </c>
      <c r="DA11" s="6" t="inlineStr">
        <is>
          <t>พ.ค.</t>
        </is>
      </c>
      <c r="DB11" s="6" t="inlineStr">
        <is>
          <t>มิ.ย.</t>
        </is>
      </c>
      <c r="DC11" s="6" t="inlineStr">
        <is>
          <t>ก.ค.</t>
        </is>
      </c>
      <c r="DD11" s="6" t="inlineStr">
        <is>
          <t>ส.ค.</t>
        </is>
      </c>
      <c r="DE11" s="151" t="inlineStr">
        <is>
          <t>SUM Y2023</t>
        </is>
      </c>
      <c r="DF11" s="151" t="inlineStr">
        <is>
          <t>SUM Y2024</t>
        </is>
      </c>
      <c r="DG11" s="151" t="inlineStr">
        <is>
          <t>SUM Y2025</t>
        </is>
      </c>
      <c r="DH11" s="151" t="inlineStr">
        <is>
          <t>SUM Y2026</t>
        </is>
      </c>
      <c r="DI11" s="151" t="inlineStr">
        <is>
          <t>SUM 6M</t>
        </is>
      </c>
      <c r="DJ11" s="6" t="inlineStr">
        <is>
          <t>3M</t>
        </is>
      </c>
      <c r="DK11" s="15" t="n"/>
    </row>
    <row r="12" ht="19.2" customHeight="1">
      <c r="A12" s="1" t="n">
        <v>1</v>
      </c>
      <c r="B12" s="161" t="inlineStr">
        <is>
          <t>Plat-LP</t>
        </is>
      </c>
      <c r="C12" s="161" t="inlineStr">
        <is>
          <t>EA011-U000-SNKC</t>
        </is>
      </c>
      <c r="D12" s="181" t="inlineStr">
        <is>
          <t>กรอบป้ายทะเบียนพลาสติกสีดำ  ตัวอักษรสีขาว NKC GROUP-since 1972
"สินค้าสั่งผลิตเท่านั้น ห้ามจำหน่าย"</t>
        </is>
      </c>
      <c r="E12" s="173" t="inlineStr">
        <is>
          <t>กรอบป้ายทะเบียน</t>
        </is>
      </c>
      <c r="F12" s="173" t="inlineStr">
        <is>
          <t>กรอบป้ายทะเบียน</t>
        </is>
      </c>
      <c r="G12" t="inlineStr">
        <is>
          <t>กรอบป้ายทะเบียน</t>
        </is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inlineStr">
        <is>
          <t>PPP</t>
        </is>
      </c>
      <c r="N12" s="20" t="n"/>
      <c r="O12" s="21">
        <f>IF(ROW()-11&lt;=516,"A",IF(ROW()-11&lt;=1663,"B",IF(ROW()-11&lt;=3253,"C","D")))</f>
        <v/>
      </c>
      <c r="P12" s="20">
        <f>SUMIFS('2023'!$M:$M,'2023'!$I:$I,$C12,'2023'!$Z:$Z,'Rank-สินค้าทั้งหมด '!P$11)</f>
        <v/>
      </c>
      <c r="Q12" s="20">
        <f>SUMIFS('2023'!$M:$M,'2023'!$I:$I,$C12,'2023'!$Z:$Z,'Rank-สินค้าทั้งหมด '!Q$11)</f>
        <v/>
      </c>
      <c r="R12" s="20">
        <f>SUMIFS('2023'!$M:$M,'2023'!$I:$I,$C12,'2023'!$Z:$Z,'Rank-สินค้าทั้งหมด '!R$11)</f>
        <v/>
      </c>
      <c r="S12" s="20">
        <f>SUMIFS('2023'!$M:$M,'2023'!$I:$I,$C12,'2023'!$Z:$Z,'Rank-สินค้าทั้งหมด '!S$11)</f>
        <v/>
      </c>
      <c r="T12" s="20">
        <f>SUMIFS('2023'!$M:$M,'2023'!$I:$I,$C12,'2023'!$Z:$Z,'Rank-สินค้าทั้งหมด '!T$11)</f>
        <v/>
      </c>
      <c r="U12" s="20">
        <f>SUMIFS('2023'!$M:$M,'2023'!$I:$I,$C12,'2023'!$Z:$Z,'Rank-สินค้าทั้งหมด '!U$11)</f>
        <v/>
      </c>
      <c r="V12" s="20">
        <f>SUMIFS('2023'!$M:$M,'2023'!$I:$I,$C12,'2023'!$Z:$Z,'Rank-สินค้าทั้งหมด '!V$11)</f>
        <v/>
      </c>
      <c r="W12" s="20">
        <f>SUMIFS('2023'!$M:$M,'2023'!$I:$I,$C12,'2023'!$Z:$Z,'Rank-สินค้าทั้งหมด '!W$11)</f>
        <v/>
      </c>
      <c r="X12" s="20">
        <f>SUMIFS('2023'!$M:$M,'2023'!$I:$I,$C12,'2023'!$Z:$Z,'Rank-สินค้าทั้งหมด '!X$11)</f>
        <v/>
      </c>
      <c r="Y12" s="20">
        <f>SUMIFS('2023'!$M:$M,'2023'!$I:$I,$C12,'2023'!$Z:$Z,'Rank-สินค้าทั้งหมด '!Y$11)</f>
        <v/>
      </c>
      <c r="Z12" s="20">
        <f>SUMIFS('2023'!$M:$M,'2023'!$I:$I,$C12,'2023'!$Z:$Z,'Rank-สินค้าทั้งหมด '!Z$11)</f>
        <v/>
      </c>
      <c r="AA12" s="20">
        <f>SUMIFS('2023'!$M:$M,'2023'!$I:$I,$C12,'2023'!$Z:$Z,'Rank-สินค้าทั้งหมด '!AA$11)</f>
        <v/>
      </c>
      <c r="AB12" s="20">
        <f>SUMIFS('2024'!$M:$M,'2024'!$I:$I,$C12,'2024'!$Z:$Z,'Rank-สินค้าทั้งหมด '!AB$11)</f>
        <v/>
      </c>
      <c r="AC12" s="20">
        <f>SUMIFS('2024'!$M:$M,'2024'!$I:$I,$C12,'2024'!$Z:$Z,'Rank-สินค้าทั้งหมด '!AC$11)</f>
        <v/>
      </c>
      <c r="AD12" s="20">
        <f>SUMIFS('2024'!$M:$M,'2024'!$I:$I,$C12,'2024'!$Z:$Z,'Rank-สินค้าทั้งหมด '!AD$11)</f>
        <v/>
      </c>
      <c r="AE12" s="20">
        <f>SUMIFS('2024'!$M:$M,'2024'!$I:$I,$C12,'2024'!$Z:$Z,'Rank-สินค้าทั้งหมด '!AE$11)</f>
        <v/>
      </c>
      <c r="AF12" s="20">
        <f>SUMIFS('2024'!$M:$M,'2024'!$I:$I,$C12,'2024'!$Z:$Z,'Rank-สินค้าทั้งหมด '!AF$11)</f>
        <v/>
      </c>
      <c r="AG12" s="20">
        <f>SUMIFS('2024'!$M:$M,'2024'!$I:$I,$C12,'2024'!$Z:$Z,'Rank-สินค้าทั้งหมด '!AG$11)</f>
        <v/>
      </c>
      <c r="AH12" s="20">
        <f>SUMIFS('2024'!$M:$M,'2024'!$I:$I,$C12,'2024'!$Z:$Z,'Rank-สินค้าทั้งหมด '!AH$11)</f>
        <v/>
      </c>
      <c r="AI12" s="20">
        <f>SUMIFS('2024'!$M:$M,'2024'!$I:$I,$C12,'2024'!$Z:$Z,'Rank-สินค้าทั้งหมด '!AI$11)</f>
        <v/>
      </c>
      <c r="AJ12" s="20">
        <f>SUMIFS('2024'!$M:$M,'2024'!$I:$I,$C12,'2024'!$Z:$Z,'Rank-สินค้าทั้งหมด '!AJ$11)</f>
        <v/>
      </c>
      <c r="AK12" s="20">
        <f>SUMIFS('2024'!$M:$M,'2024'!$I:$I,$C12,'2024'!$Z:$Z,'Rank-สินค้าทั้งหมด '!AK$11)</f>
        <v/>
      </c>
      <c r="AL12" s="20">
        <f>SUMIFS('2024'!$M:$M,'2024'!$I:$I,$C12,'2024'!$Z:$Z,'Rank-สินค้าทั้งหมด '!AL$11)</f>
        <v/>
      </c>
      <c r="AM12" s="20">
        <f>SUMIFS('2024'!$M:$M,'2024'!$I:$I,$C12,'2024'!$Z:$Z,'Rank-สินค้าทั้งหมด '!AM$11)</f>
        <v/>
      </c>
      <c r="AN12" s="20">
        <f>SUMIFS('2025'!$M:$M,'2025'!$I:$I,$C12,'2025'!$Z:$Z,'Rank-สินค้าทั้งหมด '!AN$11)</f>
        <v/>
      </c>
      <c r="AO12" s="20">
        <f>SUMIFS('2025'!$M:$M,'2025'!$I:$I,$C12,'2025'!$Z:$Z,'Rank-สินค้าทั้งหมด '!AO$11)</f>
        <v/>
      </c>
      <c r="AP12" s="20">
        <f>SUMIFS('2025'!$M:$M,'2025'!$I:$I,$C12,'2025'!$Z:$Z,'Rank-สินค้าทั้งหมด '!AP$11)</f>
        <v/>
      </c>
      <c r="AQ12" s="20">
        <f>SUMIFS('2025'!$M:$M,'2025'!$I:$I,$C12,'2025'!$Z:$Z,'Rank-สินค้าทั้งหมด '!AQ$11)</f>
        <v/>
      </c>
      <c r="AR12" s="20">
        <f>SUMIFS('2025'!$M:$M,'2025'!$I:$I,$C12,'2025'!$Z:$Z,'Rank-สินค้าทั้งหมด '!AR$11)</f>
        <v/>
      </c>
      <c r="AS12" s="20">
        <f>SUMIFS('2025'!$M:$M,'2025'!$I:$I,$C12,'2025'!$Z:$Z,'Rank-สินค้าทั้งหมด '!AS$11)</f>
        <v/>
      </c>
      <c r="AT12" s="20">
        <f>SUMIFS('2025'!$M:$M,'2025'!$I:$I,$C12,'2025'!$Z:$Z,'Rank-สินค้าทั้งหมด '!AT$11)</f>
        <v/>
      </c>
      <c r="AU12" s="20">
        <f>SUMIFS('2025'!$M:$M,'2025'!$I:$I,$C12,'2025'!$Z:$Z,'Rank-สินค้าทั้งหมด '!AU$11)</f>
        <v/>
      </c>
      <c r="AV12" s="20">
        <f>SUMIFS('2025'!$M:$M,'2025'!$I:$I,$C12,'2025'!$Z:$Z,'Rank-สินค้าทั้งหมด '!AV$11)</f>
        <v/>
      </c>
      <c r="AW12" s="20">
        <f>SUMIFS('2025'!$M:$M,'2025'!$I:$I,$C12,'2025'!$Z:$Z,'Rank-สินค้าทั้งหมด '!AW$11)</f>
        <v/>
      </c>
      <c r="AX12" s="20">
        <f>SUMIFS('2025'!$M:$M,'2025'!$I:$I,$C12,'2025'!$Z:$Z,'Rank-สินค้าทั้งหมด '!AX$11)</f>
        <v/>
      </c>
      <c r="AY12" s="20">
        <f>SUMIFS('2025'!$M:$M,'2025'!$I:$I,$C12,'2025'!$Z:$Z,'Rank-สินค้าทั้งหมด '!AY$11)</f>
        <v/>
      </c>
      <c r="AZ12" s="20">
        <f>SUMIFS('2026'!$M:$M,'2026'!$I:$I,$C12,'2026'!$Y:$Y,'Rank-สินค้าทั้งหมด '!AZ$11)</f>
        <v/>
      </c>
      <c r="BA12" s="20">
        <f>SUMIFS('2026'!$M:$M,'2026'!$I:$I,$C12,'2026'!$Y:$Y,'Rank-สินค้าทั้งหมด '!BA$11)</f>
        <v/>
      </c>
      <c r="BB12" s="20">
        <f>SUMIFS('2026'!$M:$M,'2026'!$I:$I,$C12,'2026'!$Y:$Y,'Rank-สินค้าทั้งหมด '!BB$11)</f>
        <v/>
      </c>
      <c r="BC12" s="20">
        <f>SUMIFS('2026'!$M:$M,'2026'!$I:$I,$C12,'2026'!$Y:$Y,'Rank-สินค้าทั้งหมด '!BC$11)</f>
        <v/>
      </c>
      <c r="BD12" s="20">
        <f>SUMIFS('2026'!$M:$M,'2026'!$I:$I,$C12,'2026'!$Y:$Y,'Rank-สินค้าทั้งหมด '!BD$11)</f>
        <v/>
      </c>
      <c r="BE12" s="20">
        <f>SUMIFS('2026'!$M:$M,'2026'!$I:$I,$C12,'2026'!$Y:$Y,'Rank-สินค้าทั้งหมด '!BE$11)</f>
        <v/>
      </c>
      <c r="BF12" s="20">
        <f>SUMIFS('2026'!$M:$M,'2026'!$I:$I,$C12,'2026'!$Y:$Y,'Rank-สินค้าทั้งหมด '!BF$11)</f>
        <v/>
      </c>
      <c r="BG12" s="20">
        <f>SUMIFS('2026'!$M:$M,'2026'!$I:$I,$C12,'2026'!$Y:$Y,'Rank-สินค้าทั้งหมด '!BG$11)</f>
        <v/>
      </c>
      <c r="BH12" s="20">
        <f>AVERAGEA(P12:AA12)</f>
        <v/>
      </c>
      <c r="BI12" s="20">
        <f>AVERAGEA(AB12:AM12)</f>
        <v/>
      </c>
      <c r="BJ12" s="20">
        <f>AVERAGEA(AN12:AY12)</f>
        <v/>
      </c>
      <c r="BK12" s="20">
        <f>AVERAGEA(AZ12:BG12)</f>
        <v/>
      </c>
      <c r="BL12" s="20">
        <f>AVERAGEA(BB12:BG12)</f>
        <v/>
      </c>
      <c r="BM12" s="20">
        <f>SUMIFS('2023'!$U:$U,'2023'!$I:$I,$C12,'2023'!$Z:$Z,'Rank-สินค้าทั้งหมด '!BM$11)</f>
        <v/>
      </c>
      <c r="BN12" s="20">
        <f>SUMIFS('2023'!$U:$U,'2023'!$I:$I,$C12,'2023'!$Z:$Z,'Rank-สินค้าทั้งหมด '!BN$11)</f>
        <v/>
      </c>
      <c r="BO12" s="20">
        <f>SUMIFS('2023'!$U:$U,'2023'!$I:$I,$C12,'2023'!$Z:$Z,'Rank-สินค้าทั้งหมด '!BO$11)</f>
        <v/>
      </c>
      <c r="BP12" s="20">
        <f>SUMIFS('2023'!$U:$U,'2023'!$I:$I,$C12,'2023'!$Z:$Z,'Rank-สินค้าทั้งหมด '!BP$11)</f>
        <v/>
      </c>
      <c r="BQ12" s="20">
        <f>SUMIFS('2023'!$U:$U,'2023'!$I:$I,$C12,'2023'!$Z:$Z,'Rank-สินค้าทั้งหมด '!BQ$11)</f>
        <v/>
      </c>
      <c r="BR12" s="20">
        <f>SUMIFS('2023'!$U:$U,'2023'!$I:$I,$C12,'2023'!$Z:$Z,'Rank-สินค้าทั้งหมด '!BR$11)</f>
        <v/>
      </c>
      <c r="BS12" s="20">
        <f>SUMIFS('2023'!$U:$U,'2023'!$I:$I,$C12,'2023'!$Z:$Z,'Rank-สินค้าทั้งหมด '!BS$11)</f>
        <v/>
      </c>
      <c r="BT12" s="20">
        <f>SUMIFS('2023'!$U:$U,'2023'!$I:$I,$C12,'2023'!$Z:$Z,'Rank-สินค้าทั้งหมด '!BT$11)</f>
        <v/>
      </c>
      <c r="BU12" s="20">
        <f>SUMIFS('2023'!$U:$U,'2023'!$I:$I,$C12,'2023'!$Z:$Z,'Rank-สินค้าทั้งหมด '!BU$11)</f>
        <v/>
      </c>
      <c r="BV12" s="20">
        <f>SUMIFS('2023'!$U:$U,'2023'!$I:$I,$C12,'2023'!$Z:$Z,'Rank-สินค้าทั้งหมด '!BV$11)</f>
        <v/>
      </c>
      <c r="BW12" s="20">
        <f>SUMIFS('2023'!$U:$U,'2023'!$I:$I,$C12,'2023'!$Z:$Z,'Rank-สินค้าทั้งหมด '!BW$11)</f>
        <v/>
      </c>
      <c r="BX12" s="20">
        <f>SUMIFS('2023'!$U:$U,'2023'!$I:$I,$C12,'2023'!$Z:$Z,'Rank-สินค้าทั้งหมด '!BX$11)</f>
        <v/>
      </c>
      <c r="BY12" s="20">
        <f>SUMIFS('2024'!$U:$U,'2024'!$I:$I,$C12,'2024'!$Z:$Z,'Rank-สินค้าทั้งหมด '!BY$11)</f>
        <v/>
      </c>
      <c r="BZ12" s="20">
        <f>SUMIFS('2024'!$U:$U,'2024'!$I:$I,$C12,'2024'!$Z:$Z,'Rank-สินค้าทั้งหมด '!BZ$11)</f>
        <v/>
      </c>
      <c r="CA12" s="20">
        <f>SUMIFS('2024'!$U:$U,'2024'!$I:$I,$C12,'2024'!$Z:$Z,'Rank-สินค้าทั้งหมด '!CA$11)</f>
        <v/>
      </c>
      <c r="CB12" s="20">
        <f>SUMIFS('2024'!$U:$U,'2024'!$I:$I,$C12,'2024'!$Z:$Z,'Rank-สินค้าทั้งหมด '!CB$11)</f>
        <v/>
      </c>
      <c r="CC12" s="20">
        <f>SUMIFS('2024'!$U:$U,'2024'!$I:$I,$C12,'2024'!$Z:$Z,'Rank-สินค้าทั้งหมด '!CC$11)</f>
        <v/>
      </c>
      <c r="CD12" s="20">
        <f>SUMIFS('2024'!$U:$U,'2024'!$I:$I,$C12,'2024'!$Z:$Z,'Rank-สินค้าทั้งหมด '!CD$11)</f>
        <v/>
      </c>
      <c r="CE12" s="20">
        <f>SUMIFS('2024'!$U:$U,'2024'!$I:$I,$C12,'2024'!$Z:$Z,'Rank-สินค้าทั้งหมด '!CE$11)</f>
        <v/>
      </c>
      <c r="CF12" s="20">
        <f>SUMIFS('2024'!$U:$U,'2024'!$I:$I,$C12,'2024'!$Z:$Z,'Rank-สินค้าทั้งหมด '!CF$11)</f>
        <v/>
      </c>
      <c r="CG12" s="20">
        <f>SUMIFS('2024'!$U:$U,'2024'!$I:$I,$C12,'2024'!$Z:$Z,'Rank-สินค้าทั้งหมด '!CG$11)</f>
        <v/>
      </c>
      <c r="CH12" s="20">
        <f>SUMIFS('2024'!$U:$U,'2024'!$I:$I,$C12,'2024'!$Z:$Z,'Rank-สินค้าทั้งหมด '!CH$11)</f>
        <v/>
      </c>
      <c r="CI12" s="20">
        <f>SUMIFS('2024'!$U:$U,'2024'!$I:$I,$C12,'2024'!$Z:$Z,'Rank-สินค้าทั้งหมด '!CI$11)</f>
        <v/>
      </c>
      <c r="CJ12" s="20">
        <f>SUMIFS('2024'!$U:$U,'2024'!$I:$I,$C12,'2024'!$Z:$Z,'Rank-สินค้าทั้งหมด '!CJ$11)</f>
        <v/>
      </c>
      <c r="CK12" s="20">
        <f>SUMIFS('2025'!$U:$U,'2025'!$I:$I,$C12,'2025'!$Z:$Z,'Rank-สินค้าทั้งหมด '!CK$11)</f>
        <v/>
      </c>
      <c r="CL12" s="20">
        <f>SUMIFS('2025'!$U:$U,'2025'!$I:$I,$C12,'2025'!$Z:$Z,'Rank-สินค้าทั้งหมด '!CL$11)</f>
        <v/>
      </c>
      <c r="CM12" s="20">
        <f>SUMIFS('2025'!$U:$U,'2025'!$I:$I,$C12,'2025'!$Z:$Z,'Rank-สินค้าทั้งหมด '!CM$11)</f>
        <v/>
      </c>
      <c r="CN12" s="20">
        <f>SUMIFS('2025'!$U:$U,'2025'!$I:$I,$C12,'2025'!$Z:$Z,'Rank-สินค้าทั้งหมด '!CN$11)</f>
        <v/>
      </c>
      <c r="CO12" s="20">
        <f>SUMIFS('2025'!$U:$U,'2025'!$I:$I,$C12,'2025'!$Z:$Z,'Rank-สินค้าทั้งหมด '!CO$11)</f>
        <v/>
      </c>
      <c r="CP12" s="20">
        <f>SUMIFS('2025'!$U:$U,'2025'!$I:$I,$C12,'2025'!$Z:$Z,'Rank-สินค้าทั้งหมด '!CP$11)</f>
        <v/>
      </c>
      <c r="CQ12" s="20">
        <f>SUMIFS('2025'!$U:$U,'2025'!$I:$I,$C12,'2025'!$Z:$Z,'Rank-สินค้าทั้งหมด '!CQ$11)</f>
        <v/>
      </c>
      <c r="CR12" s="20">
        <f>SUMIFS('2025'!$U:$U,'2025'!$I:$I,$C12,'2025'!$Z:$Z,'Rank-สินค้าทั้งหมด '!CR$11)</f>
        <v/>
      </c>
      <c r="CS12" s="20">
        <f>SUMIFS('2025'!$U:$U,'2025'!$I:$I,$C12,'2025'!$Z:$Z,'Rank-สินค้าทั้งหมด '!CS$11)</f>
        <v/>
      </c>
      <c r="CT12" s="20">
        <f>SUMIFS('2025'!$U:$U,'2025'!$I:$I,$C12,'2025'!$Z:$Z,'Rank-สินค้าทั้งหมด '!CT$11)</f>
        <v/>
      </c>
      <c r="CU12" s="20">
        <f>SUMIFS('2025'!$U:$U,'2025'!$I:$I,$C12,'2025'!$Z:$Z,'Rank-สินค้าทั้งหมด '!CU$11)</f>
        <v/>
      </c>
      <c r="CV12" s="20">
        <f>SUMIFS('2025'!$U:$U,'2025'!$I:$I,$C12,'2025'!$Z:$Z,'Rank-สินค้าทั้งหมด '!CV$11)</f>
        <v/>
      </c>
      <c r="CW12" s="20">
        <f>SUMIFS('2026'!$U:$U,'2026'!$I:$I,$C12,'2026'!$Y:$Y,'Rank-สินค้าทั้งหมด '!CW$11)</f>
        <v/>
      </c>
      <c r="CX12" s="20">
        <f>SUMIFS('2026'!$U:$U,'2026'!$I:$I,$C12,'2026'!$Y:$Y,'Rank-สินค้าทั้งหมด '!CX$11)</f>
        <v/>
      </c>
      <c r="CY12" s="20">
        <f>SUMIFS('2026'!$U:$U,'2026'!$I:$I,$C12,'2026'!$Y:$Y,'Rank-สินค้าทั้งหมด '!CY$11)</f>
        <v/>
      </c>
      <c r="CZ12" s="20">
        <f>SUMIFS('2026'!$U:$U,'2026'!$I:$I,$C12,'2026'!$Y:$Y,'Rank-สินค้าทั้งหมด '!CZ$11)</f>
        <v/>
      </c>
      <c r="DA12" s="20">
        <f>SUMIFS('2026'!$U:$U,'2026'!$I:$I,$C12,'2026'!$Y:$Y,'Rank-สินค้าทั้งหมด '!DA$11)</f>
        <v/>
      </c>
      <c r="DB12" s="20">
        <f>SUMIFS('2026'!$U:$U,'2026'!$I:$I,$C12,'2026'!$Y:$Y,'Rank-สินค้าทั้งหมด '!DB$11)</f>
        <v/>
      </c>
      <c r="DC12" s="20">
        <f>SUMIFS('2026'!$U:$U,'2026'!$I:$I,$C12,'2026'!$Y:$Y,'Rank-สินค้าทั้งหมด '!DC$11)</f>
        <v/>
      </c>
      <c r="DD12" s="20">
        <f>SUMIFS('2026'!$U:$U,'2026'!$I:$I,$C12,'2026'!$Y:$Y,'Rank-สินค้าทั้งหมด '!DD$11)</f>
        <v/>
      </c>
      <c r="DE12" s="20">
        <f>SUM(BM12:BX12)</f>
        <v/>
      </c>
      <c r="DF12" s="20">
        <f>SUM(BY12:CJ12)</f>
        <v/>
      </c>
      <c r="DG12" s="20">
        <f>SUM(CK12:CV12)</f>
        <v/>
      </c>
      <c r="DH12" s="20">
        <f>SUM(CW12:DD12)</f>
        <v/>
      </c>
      <c r="DI12" s="20">
        <f>SUM(CY12:DD12)</f>
        <v/>
      </c>
    </row>
    <row r="13" ht="19.2" customHeight="1">
      <c r="A13" s="1" t="n">
        <v>2</v>
      </c>
      <c r="B13" s="161" t="inlineStr">
        <is>
          <t>Plat-LP</t>
        </is>
      </c>
      <c r="C13" s="161" t="inlineStr">
        <is>
          <t>EA011-MG00-APWH</t>
        </is>
      </c>
      <c r="D13" s="181" t="inlineStr">
        <is>
          <t>กรอบป้ายทะเบียน พลาสติก สีดำ เอ็มจี อนันตภัณฑ์ ตัวอักษรอื่นสีขาว (สินค้าสั่งผลิตเท่านั้น ห้ามจำหน่าย) โคราช</t>
        </is>
      </c>
      <c r="E13" s="173" t="inlineStr">
        <is>
          <t>กรอบป้ายทะเบียนสั่งเป็นจำนวน</t>
        </is>
      </c>
      <c r="F13" s="173" t="inlineStr">
        <is>
          <t>กรอบป้ายทะเบียนสั่งเป็นจำนวน</t>
        </is>
      </c>
      <c r="G13" t="inlineStr">
        <is>
          <t>กรอบป้ายทะเบียน</t>
        </is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inlineStr">
        <is>
          <t>PPP</t>
        </is>
      </c>
      <c r="N13" s="20" t="n"/>
      <c r="O13" s="21">
        <f>IF(ROW()-11&lt;=516,"A",IF(ROW()-11&lt;=1663,"B",IF(ROW()-11&lt;=3253,"C","D")))</f>
        <v/>
      </c>
      <c r="P13" s="20">
        <f>SUMIFS('2023'!$M:$M,'2023'!$I:$I,$C13,'2023'!$Z:$Z,'Rank-สินค้าทั้งหมด '!P$11)</f>
        <v/>
      </c>
      <c r="Q13" s="20">
        <f>SUMIFS('2023'!$M:$M,'2023'!$I:$I,$C13,'2023'!$Z:$Z,'Rank-สินค้าทั้งหมด '!Q$11)</f>
        <v/>
      </c>
      <c r="R13" s="20">
        <f>SUMIFS('2023'!$M:$M,'2023'!$I:$I,$C13,'2023'!$Z:$Z,'Rank-สินค้าทั้งหมด '!R$11)</f>
        <v/>
      </c>
      <c r="S13" s="20">
        <f>SUMIFS('2023'!$M:$M,'2023'!$I:$I,$C13,'2023'!$Z:$Z,'Rank-สินค้าทั้งหมด '!S$11)</f>
        <v/>
      </c>
      <c r="T13" s="20">
        <f>SUMIFS('2023'!$M:$M,'2023'!$I:$I,$C13,'2023'!$Z:$Z,'Rank-สินค้าทั้งหมด '!T$11)</f>
        <v/>
      </c>
      <c r="U13" s="20">
        <f>SUMIFS('2023'!$M:$M,'2023'!$I:$I,$C13,'2023'!$Z:$Z,'Rank-สินค้าทั้งหมด '!U$11)</f>
        <v/>
      </c>
      <c r="V13" s="20">
        <f>SUMIFS('2023'!$M:$M,'2023'!$I:$I,$C13,'2023'!$Z:$Z,'Rank-สินค้าทั้งหมด '!V$11)</f>
        <v/>
      </c>
      <c r="W13" s="20">
        <f>SUMIFS('2023'!$M:$M,'2023'!$I:$I,$C13,'2023'!$Z:$Z,'Rank-สินค้าทั้งหมด '!W$11)</f>
        <v/>
      </c>
      <c r="X13" s="20">
        <f>SUMIFS('2023'!$M:$M,'2023'!$I:$I,$C13,'2023'!$Z:$Z,'Rank-สินค้าทั้งหมด '!X$11)</f>
        <v/>
      </c>
      <c r="Y13" s="20">
        <f>SUMIFS('2023'!$M:$M,'2023'!$I:$I,$C13,'2023'!$Z:$Z,'Rank-สินค้าทั้งหมด '!Y$11)</f>
        <v/>
      </c>
      <c r="Z13" s="20">
        <f>SUMIFS('2023'!$M:$M,'2023'!$I:$I,$C13,'2023'!$Z:$Z,'Rank-สินค้าทั้งหมด '!Z$11)</f>
        <v/>
      </c>
      <c r="AA13" s="20">
        <f>SUMIFS('2023'!$M:$M,'2023'!$I:$I,$C13,'2023'!$Z:$Z,'Rank-สินค้าทั้งหมด '!AA$11)</f>
        <v/>
      </c>
      <c r="AB13" s="20">
        <f>SUMIFS('2024'!$M:$M,'2024'!$I:$I,$C13,'2024'!$Z:$Z,'Rank-สินค้าทั้งหมด '!AB$11)</f>
        <v/>
      </c>
      <c r="AC13" s="20">
        <f>SUMIFS('2024'!$M:$M,'2024'!$I:$I,$C13,'2024'!$Z:$Z,'Rank-สินค้าทั้งหมด '!AC$11)</f>
        <v/>
      </c>
      <c r="AD13" s="20">
        <f>SUMIFS('2024'!$M:$M,'2024'!$I:$I,$C13,'2024'!$Z:$Z,'Rank-สินค้าทั้งหมด '!AD$11)</f>
        <v/>
      </c>
      <c r="AE13" s="20">
        <f>SUMIFS('2024'!$M:$M,'2024'!$I:$I,$C13,'2024'!$Z:$Z,'Rank-สินค้าทั้งหมด '!AE$11)</f>
        <v/>
      </c>
      <c r="AF13" s="20">
        <f>SUMIFS('2024'!$M:$M,'2024'!$I:$I,$C13,'2024'!$Z:$Z,'Rank-สินค้าทั้งหมด '!AF$11)</f>
        <v/>
      </c>
      <c r="AG13" s="20">
        <f>SUMIFS('2024'!$M:$M,'2024'!$I:$I,$C13,'2024'!$Z:$Z,'Rank-สินค้าทั้งหมด '!AG$11)</f>
        <v/>
      </c>
      <c r="AH13" s="20">
        <f>SUMIFS('2024'!$M:$M,'2024'!$I:$I,$C13,'2024'!$Z:$Z,'Rank-สินค้าทั้งหมด '!AH$11)</f>
        <v/>
      </c>
      <c r="AI13" s="20">
        <f>SUMIFS('2024'!$M:$M,'2024'!$I:$I,$C13,'2024'!$Z:$Z,'Rank-สินค้าทั้งหมด '!AI$11)</f>
        <v/>
      </c>
      <c r="AJ13" s="20">
        <f>SUMIFS('2024'!$M:$M,'2024'!$I:$I,$C13,'2024'!$Z:$Z,'Rank-สินค้าทั้งหมด '!AJ$11)</f>
        <v/>
      </c>
      <c r="AK13" s="20">
        <f>SUMIFS('2024'!$M:$M,'2024'!$I:$I,$C13,'2024'!$Z:$Z,'Rank-สินค้าทั้งหมด '!AK$11)</f>
        <v/>
      </c>
      <c r="AL13" s="20">
        <f>SUMIFS('2024'!$M:$M,'2024'!$I:$I,$C13,'2024'!$Z:$Z,'Rank-สินค้าทั้งหมด '!AL$11)</f>
        <v/>
      </c>
      <c r="AM13" s="20">
        <f>SUMIFS('2024'!$M:$M,'2024'!$I:$I,$C13,'2024'!$Z:$Z,'Rank-สินค้าทั้งหมด '!AM$11)</f>
        <v/>
      </c>
      <c r="AN13" s="20">
        <f>SUMIFS('2025'!$M:$M,'2025'!$I:$I,$C13,'2025'!$Z:$Z,'Rank-สินค้าทั้งหมด '!AN$11)</f>
        <v/>
      </c>
      <c r="AO13" s="20">
        <f>SUMIFS('2025'!$M:$M,'2025'!$I:$I,$C13,'2025'!$Z:$Z,'Rank-สินค้าทั้งหมด '!AO$11)</f>
        <v/>
      </c>
      <c r="AP13" s="20">
        <f>SUMIFS('2025'!$M:$M,'2025'!$I:$I,$C13,'2025'!$Z:$Z,'Rank-สินค้าทั้งหมด '!AP$11)</f>
        <v/>
      </c>
      <c r="AQ13" s="20">
        <f>SUMIFS('2025'!$M:$M,'2025'!$I:$I,$C13,'2025'!$Z:$Z,'Rank-สินค้าทั้งหมด '!AQ$11)</f>
        <v/>
      </c>
      <c r="AR13" s="20">
        <f>SUMIFS('2025'!$M:$M,'2025'!$I:$I,$C13,'2025'!$Z:$Z,'Rank-สินค้าทั้งหมด '!AR$11)</f>
        <v/>
      </c>
      <c r="AS13" s="20">
        <f>SUMIFS('2025'!$M:$M,'2025'!$I:$I,$C13,'2025'!$Z:$Z,'Rank-สินค้าทั้งหมด '!AS$11)</f>
        <v/>
      </c>
      <c r="AT13" s="20">
        <f>SUMIFS('2025'!$M:$M,'2025'!$I:$I,$C13,'2025'!$Z:$Z,'Rank-สินค้าทั้งหมด '!AT$11)</f>
        <v/>
      </c>
      <c r="AU13" s="20">
        <f>SUMIFS('2025'!$M:$M,'2025'!$I:$I,$C13,'2025'!$Z:$Z,'Rank-สินค้าทั้งหมด '!AU$11)</f>
        <v/>
      </c>
      <c r="AV13" s="20">
        <f>SUMIFS('2025'!$M:$M,'2025'!$I:$I,$C13,'2025'!$Z:$Z,'Rank-สินค้าทั้งหมด '!AV$11)</f>
        <v/>
      </c>
      <c r="AW13" s="20">
        <f>SUMIFS('2025'!$M:$M,'2025'!$I:$I,$C13,'2025'!$Z:$Z,'Rank-สินค้าทั้งหมด '!AW$11)</f>
        <v/>
      </c>
      <c r="AX13" s="20">
        <f>SUMIFS('2025'!$M:$M,'2025'!$I:$I,$C13,'2025'!$Z:$Z,'Rank-สินค้าทั้งหมด '!AX$11)</f>
        <v/>
      </c>
      <c r="AY13" s="20">
        <f>SUMIFS('2025'!$M:$M,'2025'!$I:$I,$C13,'2025'!$Z:$Z,'Rank-สินค้าทั้งหมด '!AY$11)</f>
        <v/>
      </c>
      <c r="AZ13" s="20">
        <f>SUMIFS('2026'!$M:$M,'2026'!$I:$I,$C13,'2026'!$Y:$Y,'Rank-สินค้าทั้งหมด '!AZ$11)</f>
        <v/>
      </c>
      <c r="BA13" s="20">
        <f>SUMIFS('2026'!$M:$M,'2026'!$I:$I,$C13,'2026'!$Y:$Y,'Rank-สินค้าทั้งหมด '!BA$11)</f>
        <v/>
      </c>
      <c r="BB13" s="20">
        <f>SUMIFS('2026'!$M:$M,'2026'!$I:$I,$C13,'2026'!$Y:$Y,'Rank-สินค้าทั้งหมด '!BB$11)</f>
        <v/>
      </c>
      <c r="BC13" s="20">
        <f>SUMIFS('2026'!$M:$M,'2026'!$I:$I,$C13,'2026'!$Y:$Y,'Rank-สินค้าทั้งหมด '!BC$11)</f>
        <v/>
      </c>
      <c r="BD13" s="20">
        <f>SUMIFS('2026'!$M:$M,'2026'!$I:$I,$C13,'2026'!$Y:$Y,'Rank-สินค้าทั้งหมด '!BD$11)</f>
        <v/>
      </c>
      <c r="BE13" s="20">
        <f>SUMIFS('2026'!$M:$M,'2026'!$I:$I,$C13,'2026'!$Y:$Y,'Rank-สินค้าทั้งหมด '!BE$11)</f>
        <v/>
      </c>
      <c r="BF13" s="20">
        <f>SUMIFS('2026'!$M:$M,'2026'!$I:$I,$C13,'2026'!$Y:$Y,'Rank-สินค้าทั้งหมด '!BF$11)</f>
        <v/>
      </c>
      <c r="BG13" s="20">
        <f>SUMIFS('2026'!$M:$M,'2026'!$I:$I,$C13,'2026'!$Y:$Y,'Rank-สินค้าทั้งหมด '!BG$11)</f>
        <v/>
      </c>
      <c r="BH13" s="20">
        <f>AVERAGEA(P13:AA13)</f>
        <v/>
      </c>
      <c r="BI13" s="20">
        <f>AVERAGEA(AB13:AM13)</f>
        <v/>
      </c>
      <c r="BJ13" s="20">
        <f>AVERAGEA(AN13:AY13)</f>
        <v/>
      </c>
      <c r="BK13" s="20">
        <f>AVERAGEA(AZ13:BG13)</f>
        <v/>
      </c>
      <c r="BL13" s="20">
        <f>AVERAGEA(BB13:BG13)</f>
        <v/>
      </c>
      <c r="BM13" s="20">
        <f>SUMIFS('2023'!$U:$U,'2023'!$I:$I,$C13,'2023'!$Z:$Z,'Rank-สินค้าทั้งหมด '!BM$11)</f>
        <v/>
      </c>
      <c r="BN13" s="20">
        <f>SUMIFS('2023'!$U:$U,'2023'!$I:$I,$C13,'2023'!$Z:$Z,'Rank-สินค้าทั้งหมด '!BN$11)</f>
        <v/>
      </c>
      <c r="BO13" s="20">
        <f>SUMIFS('2023'!$U:$U,'2023'!$I:$I,$C13,'2023'!$Z:$Z,'Rank-สินค้าทั้งหมด '!BO$11)</f>
        <v/>
      </c>
      <c r="BP13" s="20">
        <f>SUMIFS('2023'!$U:$U,'2023'!$I:$I,$C13,'2023'!$Z:$Z,'Rank-สินค้าทั้งหมด '!BP$11)</f>
        <v/>
      </c>
      <c r="BQ13" s="20">
        <f>SUMIFS('2023'!$U:$U,'2023'!$I:$I,$C13,'2023'!$Z:$Z,'Rank-สินค้าทั้งหมด '!BQ$11)</f>
        <v/>
      </c>
      <c r="BR13" s="20">
        <f>SUMIFS('2023'!$U:$U,'2023'!$I:$I,$C13,'2023'!$Z:$Z,'Rank-สินค้าทั้งหมด '!BR$11)</f>
        <v/>
      </c>
      <c r="BS13" s="20">
        <f>SUMIFS('2023'!$U:$U,'2023'!$I:$I,$C13,'2023'!$Z:$Z,'Rank-สินค้าทั้งหมด '!BS$11)</f>
        <v/>
      </c>
      <c r="BT13" s="20">
        <f>SUMIFS('2023'!$U:$U,'2023'!$I:$I,$C13,'2023'!$Z:$Z,'Rank-สินค้าทั้งหมด '!BT$11)</f>
        <v/>
      </c>
      <c r="BU13" s="20">
        <f>SUMIFS('2023'!$U:$U,'2023'!$I:$I,$C13,'2023'!$Z:$Z,'Rank-สินค้าทั้งหมด '!BU$11)</f>
        <v/>
      </c>
      <c r="BV13" s="20">
        <f>SUMIFS('2023'!$U:$U,'2023'!$I:$I,$C13,'2023'!$Z:$Z,'Rank-สินค้าทั้งหมด '!BV$11)</f>
        <v/>
      </c>
      <c r="BW13" s="20">
        <f>SUMIFS('2023'!$U:$U,'2023'!$I:$I,$C13,'2023'!$Z:$Z,'Rank-สินค้าทั้งหมด '!BW$11)</f>
        <v/>
      </c>
      <c r="BX13" s="20">
        <f>SUMIFS('2023'!$U:$U,'2023'!$I:$I,$C13,'2023'!$Z:$Z,'Rank-สินค้าทั้งหมด '!BX$11)</f>
        <v/>
      </c>
      <c r="BY13" s="20">
        <f>SUMIFS('2024'!$U:$U,'2024'!$I:$I,$C13,'2024'!$Z:$Z,'Rank-สินค้าทั้งหมด '!BY$11)</f>
        <v/>
      </c>
      <c r="BZ13" s="20">
        <f>SUMIFS('2024'!$U:$U,'2024'!$I:$I,$C13,'2024'!$Z:$Z,'Rank-สินค้าทั้งหมด '!BZ$11)</f>
        <v/>
      </c>
      <c r="CA13" s="20">
        <f>SUMIFS('2024'!$U:$U,'2024'!$I:$I,$C13,'2024'!$Z:$Z,'Rank-สินค้าทั้งหมด '!CA$11)</f>
        <v/>
      </c>
      <c r="CB13" s="20">
        <f>SUMIFS('2024'!$U:$U,'2024'!$I:$I,$C13,'2024'!$Z:$Z,'Rank-สินค้าทั้งหมด '!CB$11)</f>
        <v/>
      </c>
      <c r="CC13" s="20">
        <f>SUMIFS('2024'!$U:$U,'2024'!$I:$I,$C13,'2024'!$Z:$Z,'Rank-สินค้าทั้งหมด '!CC$11)</f>
        <v/>
      </c>
      <c r="CD13" s="20">
        <f>SUMIFS('2024'!$U:$U,'2024'!$I:$I,$C13,'2024'!$Z:$Z,'Rank-สินค้าทั้งหมด '!CD$11)</f>
        <v/>
      </c>
      <c r="CE13" s="20">
        <f>SUMIFS('2024'!$U:$U,'2024'!$I:$I,$C13,'2024'!$Z:$Z,'Rank-สินค้าทั้งหมด '!CE$11)</f>
        <v/>
      </c>
      <c r="CF13" s="20">
        <f>SUMIFS('2024'!$U:$U,'2024'!$I:$I,$C13,'2024'!$Z:$Z,'Rank-สินค้าทั้งหมด '!CF$11)</f>
        <v/>
      </c>
      <c r="CG13" s="20">
        <f>SUMIFS('2024'!$U:$U,'2024'!$I:$I,$C13,'2024'!$Z:$Z,'Rank-สินค้าทั้งหมด '!CG$11)</f>
        <v/>
      </c>
      <c r="CH13" s="20">
        <f>SUMIFS('2024'!$U:$U,'2024'!$I:$I,$C13,'2024'!$Z:$Z,'Rank-สินค้าทั้งหมด '!CH$11)</f>
        <v/>
      </c>
      <c r="CI13" s="20">
        <f>SUMIFS('2024'!$U:$U,'2024'!$I:$I,$C13,'2024'!$Z:$Z,'Rank-สินค้าทั้งหมด '!CI$11)</f>
        <v/>
      </c>
      <c r="CJ13" s="20">
        <f>SUMIFS('2024'!$U:$U,'2024'!$I:$I,$C13,'2024'!$Z:$Z,'Rank-สินค้าทั้งหมด '!CJ$11)</f>
        <v/>
      </c>
      <c r="CK13" s="20">
        <f>SUMIFS('2025'!$U:$U,'2025'!$I:$I,$C13,'2025'!$Z:$Z,'Rank-สินค้าทั้งหมด '!CK$11)</f>
        <v/>
      </c>
      <c r="CL13" s="20">
        <f>SUMIFS('2025'!$U:$U,'2025'!$I:$I,$C13,'2025'!$Z:$Z,'Rank-สินค้าทั้งหมด '!CL$11)</f>
        <v/>
      </c>
      <c r="CM13" s="20">
        <f>SUMIFS('2025'!$U:$U,'2025'!$I:$I,$C13,'2025'!$Z:$Z,'Rank-สินค้าทั้งหมด '!CM$11)</f>
        <v/>
      </c>
      <c r="CN13" s="20">
        <f>SUMIFS('2025'!$U:$U,'2025'!$I:$I,$C13,'2025'!$Z:$Z,'Rank-สินค้าทั้งหมด '!CN$11)</f>
        <v/>
      </c>
      <c r="CO13" s="20">
        <f>SUMIFS('2025'!$U:$U,'2025'!$I:$I,$C13,'2025'!$Z:$Z,'Rank-สินค้าทั้งหมด '!CO$11)</f>
        <v/>
      </c>
      <c r="CP13" s="20">
        <f>SUMIFS('2025'!$U:$U,'2025'!$I:$I,$C13,'2025'!$Z:$Z,'Rank-สินค้าทั้งหมด '!CP$11)</f>
        <v/>
      </c>
      <c r="CQ13" s="20">
        <f>SUMIFS('2025'!$U:$U,'2025'!$I:$I,$C13,'2025'!$Z:$Z,'Rank-สินค้าทั้งหมด '!CQ$11)</f>
        <v/>
      </c>
      <c r="CR13" s="20">
        <f>SUMIFS('2025'!$U:$U,'2025'!$I:$I,$C13,'2025'!$Z:$Z,'Rank-สินค้าทั้งหมด '!CR$11)</f>
        <v/>
      </c>
      <c r="CS13" s="20">
        <f>SUMIFS('2025'!$U:$U,'2025'!$I:$I,$C13,'2025'!$Z:$Z,'Rank-สินค้าทั้งหมด '!CS$11)</f>
        <v/>
      </c>
      <c r="CT13" s="20">
        <f>SUMIFS('2025'!$U:$U,'2025'!$I:$I,$C13,'2025'!$Z:$Z,'Rank-สินค้าทั้งหมด '!CT$11)</f>
        <v/>
      </c>
      <c r="CU13" s="20">
        <f>SUMIFS('2025'!$U:$U,'2025'!$I:$I,$C13,'2025'!$Z:$Z,'Rank-สินค้าทั้งหมด '!CU$11)</f>
        <v/>
      </c>
      <c r="CV13" s="20">
        <f>SUMIFS('2025'!$U:$U,'2025'!$I:$I,$C13,'2025'!$Z:$Z,'Rank-สินค้าทั้งหมด '!CV$11)</f>
        <v/>
      </c>
      <c r="CW13" s="20">
        <f>SUMIFS('2026'!$U:$U,'2026'!$I:$I,$C13,'2026'!$Y:$Y,'Rank-สินค้าทั้งหมด '!CW$11)</f>
        <v/>
      </c>
      <c r="CX13" s="20">
        <f>SUMIFS('2026'!$U:$U,'2026'!$I:$I,$C13,'2026'!$Y:$Y,'Rank-สินค้าทั้งหมด '!CX$11)</f>
        <v/>
      </c>
      <c r="CY13" s="20">
        <f>SUMIFS('2026'!$U:$U,'2026'!$I:$I,$C13,'2026'!$Y:$Y,'Rank-สินค้าทั้งหมด '!CY$11)</f>
        <v/>
      </c>
      <c r="CZ13" s="20">
        <f>SUMIFS('2026'!$U:$U,'2026'!$I:$I,$C13,'2026'!$Y:$Y,'Rank-สินค้าทั้งหมด '!CZ$11)</f>
        <v/>
      </c>
      <c r="DA13" s="20">
        <f>SUMIFS('2026'!$U:$U,'2026'!$I:$I,$C13,'2026'!$Y:$Y,'Rank-สินค้าทั้งหมด '!DA$11)</f>
        <v/>
      </c>
      <c r="DB13" s="20">
        <f>SUMIFS('2026'!$U:$U,'2026'!$I:$I,$C13,'2026'!$Y:$Y,'Rank-สินค้าทั้งหมด '!DB$11)</f>
        <v/>
      </c>
      <c r="DC13" s="20">
        <f>SUMIFS('2026'!$U:$U,'2026'!$I:$I,$C13,'2026'!$Y:$Y,'Rank-สินค้าทั้งหมด '!DC$11)</f>
        <v/>
      </c>
      <c r="DD13" s="20">
        <f>SUMIFS('2026'!$U:$U,'2026'!$I:$I,$C13,'2026'!$Y:$Y,'Rank-สินค้าทั้งหมด '!DD$11)</f>
        <v/>
      </c>
      <c r="DE13" s="20">
        <f>SUM(BM13:BX13)</f>
        <v/>
      </c>
      <c r="DF13" s="20">
        <f>SUM(BY13:CJ13)</f>
        <v/>
      </c>
      <c r="DG13" s="20">
        <f>SUM(CK13:CV13)</f>
        <v/>
      </c>
      <c r="DH13" s="20">
        <f>SUM(CW13:DD13)</f>
        <v/>
      </c>
      <c r="DI13" s="20">
        <f>SUM(CY13:DD13)</f>
        <v/>
      </c>
    </row>
  </sheetData>
  <autoFilter ref="A11:DK18025"/>
  <mergeCells count="17">
    <mergeCell ref="CW10:DD10"/>
    <mergeCell ref="K1:P1"/>
    <mergeCell ref="B7:C7"/>
    <mergeCell ref="S1:X1"/>
    <mergeCell ref="B1:D1"/>
    <mergeCell ref="AB10:AM10"/>
    <mergeCell ref="P10:AA10"/>
    <mergeCell ref="J1:J2"/>
    <mergeCell ref="AZ10:BG10"/>
    <mergeCell ref="BM10:BX10"/>
    <mergeCell ref="CK10:CV10"/>
    <mergeCell ref="BH10:BL10"/>
    <mergeCell ref="I1:I2"/>
    <mergeCell ref="AN10:AY10"/>
    <mergeCell ref="B8:C8"/>
    <mergeCell ref="BY10:CJ10"/>
    <mergeCell ref="H1:H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DK11"/>
  <sheetViews>
    <sheetView topLeftCell="I1" workbookViewId="0">
      <selection activeCell="O11" sqref="O11"/>
    </sheetView>
  </sheetViews>
  <sheetFormatPr baseColWidth="8" defaultRowHeight="14.4"/>
  <cols>
    <col width="9.33203125" bestFit="1" customWidth="1" style="1" min="1" max="1"/>
    <col width="13.21875" customWidth="1" min="2" max="2"/>
    <col width="24.44140625" bestFit="1" customWidth="1" min="3" max="3"/>
    <col width="39.109375" customWidth="1" min="4" max="4"/>
    <col width="14.33203125" customWidth="1" min="5" max="5"/>
    <col width="14.21875" customWidth="1" min="6" max="6"/>
    <col width="9.33203125" bestFit="1" customWidth="1" min="8" max="8"/>
    <col width="12.6640625" bestFit="1" customWidth="1" min="9" max="9"/>
    <col width="9.33203125" bestFit="1" customWidth="1" min="10" max="11"/>
    <col width="12.6640625" bestFit="1" customWidth="1" min="12" max="12"/>
    <col width="9.33203125" bestFit="1" customWidth="1" min="13" max="14"/>
    <col width="8.88671875" customWidth="1" style="1" min="15" max="15"/>
    <col width="9.33203125" bestFit="1" customWidth="1" min="16" max="18"/>
    <col width="10.5546875" customWidth="1" min="19" max="25"/>
    <col width="9.33203125" bestFit="1" customWidth="1" min="26" max="51"/>
    <col width="10.6640625" bestFit="1" customWidth="1" min="52" max="52"/>
    <col width="9.33203125" bestFit="1" customWidth="1" min="53" max="53"/>
    <col width="9.33203125" customWidth="1" min="54" max="55"/>
    <col width="9.33203125" bestFit="1" customWidth="1" min="56" max="57"/>
    <col width="9.33203125" customWidth="1" min="58" max="58"/>
    <col width="9.33203125" bestFit="1" customWidth="1" min="59" max="96"/>
    <col width="10.88671875" bestFit="1" customWidth="1" min="97" max="97"/>
    <col width="10.6640625" bestFit="1" customWidth="1" min="98" max="99"/>
    <col width="11.88671875" bestFit="1" customWidth="1" min="105" max="105"/>
    <col width="11.88671875" customWidth="1" min="106" max="106"/>
    <col width="13.88671875" bestFit="1" customWidth="1" min="107" max="107"/>
  </cols>
  <sheetData>
    <row r="1" ht="16.8" customHeight="1">
      <c r="B1" s="255" t="inlineStr">
        <is>
          <t>รวมทั้งบริษัท</t>
        </is>
      </c>
      <c r="C1" s="222" t="n"/>
      <c r="D1" s="223" t="n"/>
      <c r="E1" s="153" t="n"/>
      <c r="F1" s="153" t="n"/>
      <c r="G1" s="153" t="n"/>
      <c r="H1" s="211" t="inlineStr">
        <is>
          <t>Total</t>
        </is>
      </c>
      <c r="I1" s="211" t="inlineStr">
        <is>
          <t>Rank</t>
        </is>
      </c>
      <c r="J1" s="238" t="inlineStr">
        <is>
          <t>จน.Item</t>
        </is>
      </c>
      <c r="K1" s="93" t="inlineStr">
        <is>
          <t>จำนวนชิ้น</t>
        </is>
      </c>
      <c r="L1" s="222" t="n"/>
      <c r="M1" s="223" t="n"/>
      <c r="N1" s="89" t="inlineStr">
        <is>
          <t>AV 3M</t>
        </is>
      </c>
      <c r="O1" s="90" t="inlineStr">
        <is>
          <t>คิดเป็น %</t>
        </is>
      </c>
      <c r="P1" s="96" t="inlineStr">
        <is>
          <t>จำนวนบาท</t>
        </is>
      </c>
      <c r="Q1" s="222" t="n"/>
      <c r="R1" s="223" t="n"/>
      <c r="S1" s="91" t="inlineStr">
        <is>
          <t xml:space="preserve">SUM 3M </t>
        </is>
      </c>
      <c r="T1" s="92" t="inlineStr">
        <is>
          <t>คิดเป็น %</t>
        </is>
      </c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</row>
    <row r="2" ht="15" customHeight="1">
      <c r="B2" s="154" t="inlineStr">
        <is>
          <t>Total</t>
        </is>
      </c>
      <c r="C2" s="154" t="inlineStr">
        <is>
          <t>Rank</t>
        </is>
      </c>
      <c r="D2" s="154" t="inlineStr">
        <is>
          <t>จำนวนไอเทมสินค้า</t>
        </is>
      </c>
      <c r="E2" s="153" t="n"/>
      <c r="F2" s="153" t="n"/>
      <c r="G2" s="153" t="n"/>
      <c r="H2" s="224" t="n"/>
      <c r="I2" s="224" t="n"/>
      <c r="J2" s="224" t="n"/>
      <c r="K2" s="93" t="inlineStr">
        <is>
          <t>มิ.ย.</t>
        </is>
      </c>
      <c r="L2" s="93" t="inlineStr">
        <is>
          <t>ก.ค.</t>
        </is>
      </c>
      <c r="M2" s="93" t="inlineStr">
        <is>
          <t>ส.ค.</t>
        </is>
      </c>
      <c r="N2" s="94" t="n"/>
      <c r="O2" s="95" t="n"/>
      <c r="P2" s="96" t="inlineStr">
        <is>
          <t>มิ.ย.</t>
        </is>
      </c>
      <c r="Q2" s="96" t="inlineStr">
        <is>
          <t>ก.ค.</t>
        </is>
      </c>
      <c r="R2" s="96" t="inlineStr">
        <is>
          <t>ส.ค.</t>
        </is>
      </c>
      <c r="S2" s="97" t="n"/>
      <c r="T2" s="98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</row>
    <row r="3">
      <c r="B3" s="155">
        <f>SUM(B4:B6)</f>
        <v/>
      </c>
      <c r="C3" s="156" t="n"/>
      <c r="D3" s="256">
        <f>COUNT(A10:A1048576)</f>
        <v/>
      </c>
      <c r="E3" s="153" t="n"/>
      <c r="F3" s="153" t="n"/>
      <c r="G3" s="153" t="n"/>
      <c r="H3" s="82" t="n">
        <v>1</v>
      </c>
      <c r="I3" s="99" t="n"/>
      <c r="J3" s="239">
        <f>D3</f>
        <v/>
      </c>
      <c r="K3" s="240">
        <f>SUM(K4:K6)</f>
        <v/>
      </c>
      <c r="L3" s="240">
        <f>SUM(L4:L6)</f>
        <v/>
      </c>
      <c r="M3" s="240">
        <f>SUM(M4:M6)</f>
        <v/>
      </c>
      <c r="N3" s="241">
        <f>AVERAGE(K3:M3)</f>
        <v/>
      </c>
      <c r="O3" s="103" t="n">
        <v>1</v>
      </c>
      <c r="P3" s="104">
        <f>SUM(P4:P6)</f>
        <v/>
      </c>
      <c r="Q3" s="104">
        <f>SUM(Q4:Q6)</f>
        <v/>
      </c>
      <c r="R3" s="104">
        <f>SUM(R4:R6)</f>
        <v/>
      </c>
      <c r="S3" s="242">
        <f>SUM(P3:R3)</f>
        <v/>
      </c>
      <c r="T3" s="106" t="n">
        <v>1</v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4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</row>
    <row r="4">
      <c r="B4" s="2" t="n">
        <v>0.2</v>
      </c>
      <c r="C4" s="3" t="inlineStr">
        <is>
          <t>A</t>
        </is>
      </c>
      <c r="D4" s="257">
        <f>$D$3*B4</f>
        <v/>
      </c>
      <c r="E4" s="153" t="n"/>
      <c r="F4" s="258" t="n"/>
      <c r="G4" s="153" t="n"/>
      <c r="H4" s="85" t="n">
        <v>0.1736</v>
      </c>
      <c r="I4" s="3" t="inlineStr">
        <is>
          <t>A</t>
        </is>
      </c>
      <c r="J4" s="244">
        <f>D4</f>
        <v/>
      </c>
      <c r="K4" s="244">
        <f>SUMIF($O$10:$O$110,$I4,BE$10:BE$110)</f>
        <v/>
      </c>
      <c r="L4" s="244">
        <f>SUMIF($O$10:$O$110,$I4,BF$10:BF$110)</f>
        <v/>
      </c>
      <c r="M4" s="244">
        <f>SUMIF($O$10:$O$110,$I4,BG$10:BG$110)</f>
        <v/>
      </c>
      <c r="N4" s="245">
        <f>AVERAGE(K4:M4)</f>
        <v/>
      </c>
      <c r="O4" s="108">
        <f>N4/$N$3*$O$3</f>
        <v/>
      </c>
      <c r="P4" s="109">
        <f>SUMIF($O$10:$O$110,$I4,DB10:DB113)</f>
        <v/>
      </c>
      <c r="Q4" s="109">
        <f>SUMIF($O$10:$O$110,$I4,DC10:DC113)</f>
        <v/>
      </c>
      <c r="R4" s="109">
        <f>SUMIF($O$10:$O$110,$I4,DD10:DD113)</f>
        <v/>
      </c>
      <c r="S4" s="245">
        <f>SUM(P4:R4)</f>
        <v/>
      </c>
      <c r="T4" s="108">
        <f>$S4/$S$3*$T$3</f>
        <v/>
      </c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</row>
    <row r="5">
      <c r="B5" s="2" t="n">
        <v>0.3</v>
      </c>
      <c r="C5" s="3" t="inlineStr">
        <is>
          <t>B</t>
        </is>
      </c>
      <c r="D5" s="257">
        <f>$D$3*B5</f>
        <v/>
      </c>
      <c r="E5" s="153" t="n"/>
      <c r="F5" s="258" t="n"/>
      <c r="G5" s="153" t="n"/>
      <c r="H5" s="85" t="n">
        <v>0.3395</v>
      </c>
      <c r="I5" s="3" t="inlineStr">
        <is>
          <t>B</t>
        </is>
      </c>
      <c r="J5" s="244">
        <f>D5</f>
        <v/>
      </c>
      <c r="K5" s="244">
        <f>SUMIF($O$10:$O$110,$I5,BE$10:BE$110)</f>
        <v/>
      </c>
      <c r="L5" s="244">
        <f>SUMIF($O$10:$O$110,$I5,BF$10:BF$110)</f>
        <v/>
      </c>
      <c r="M5" s="244">
        <f>SUMIF($O$10:$O$110,$I5,BG$10:BG$110)</f>
        <v/>
      </c>
      <c r="N5" s="245">
        <f>AVERAGE(K5:M5)</f>
        <v/>
      </c>
      <c r="O5" s="108">
        <f>N5/$N$3*$O$3</f>
        <v/>
      </c>
      <c r="P5" s="109">
        <f>SUMIF($O$10:$O$110,$I5,DB11:DB114)</f>
        <v/>
      </c>
      <c r="Q5" s="109">
        <f>SUMIF($O$10:$O$110,$I5,DC11:DC114)</f>
        <v/>
      </c>
      <c r="R5" s="109">
        <f>SUMIF($O$10:$O$110,$I5,DD11:DD114)</f>
        <v/>
      </c>
      <c r="S5" s="245">
        <f>SUM(P5:R5)</f>
        <v/>
      </c>
      <c r="T5" s="108">
        <f>$S5/$S$3*$T$3</f>
        <v/>
      </c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</row>
    <row r="6">
      <c r="B6" s="2" t="n">
        <v>0.5</v>
      </c>
      <c r="C6" s="3" t="inlineStr">
        <is>
          <t>C</t>
        </is>
      </c>
      <c r="D6" s="257">
        <f>$D$3*B6</f>
        <v/>
      </c>
      <c r="E6" s="153" t="n"/>
      <c r="F6" s="258" t="n"/>
      <c r="G6" s="153" t="n"/>
      <c r="H6" s="85" t="n">
        <v>0.4869</v>
      </c>
      <c r="I6" s="3" t="inlineStr">
        <is>
          <t>C</t>
        </is>
      </c>
      <c r="J6" s="244">
        <f>D6</f>
        <v/>
      </c>
      <c r="K6" s="244">
        <f>SUMIF($O$10:$O$110,$I6,BE$10:BE$110)</f>
        <v/>
      </c>
      <c r="L6" s="244">
        <f>SUMIF($O$10:$O$110,$I6,BF$10:BF$110)</f>
        <v/>
      </c>
      <c r="M6" s="244">
        <f>SUMIF($O$10:$O$110,$I6,BG$10:BG$110)</f>
        <v/>
      </c>
      <c r="N6" s="245">
        <f>AVERAGE(K6:M6)</f>
        <v/>
      </c>
      <c r="O6" s="108">
        <f>N6/$N$3*$O$3</f>
        <v/>
      </c>
      <c r="P6" s="109">
        <f>SUMIF($O$10:$O$110,$I6,DB12:DB115)</f>
        <v/>
      </c>
      <c r="Q6" s="109">
        <f>SUMIF($O$10:$O$110,$I6,DC12:DC115)</f>
        <v/>
      </c>
      <c r="R6" s="109">
        <f>SUMIF($O$10:$O$110,$I6,DD12:DD115)</f>
        <v/>
      </c>
      <c r="S6" s="245">
        <f>SUM(P6:R6)</f>
        <v/>
      </c>
      <c r="T6" s="108">
        <f>$S6/$S$3*$T$3</f>
        <v/>
      </c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</row>
    <row r="7">
      <c r="C7" s="1" t="n"/>
      <c r="E7" s="160" t="n"/>
      <c r="F7" s="153" t="n"/>
      <c r="G7" s="160" t="n"/>
      <c r="I7" s="1" t="n"/>
      <c r="K7" s="1" t="n"/>
      <c r="M7" s="1" t="n"/>
      <c r="Q7" s="1" t="n"/>
      <c r="S7" s="1" t="n"/>
      <c r="U7" s="1" t="n"/>
      <c r="W7" s="1" t="n"/>
      <c r="Y7" s="1" t="n"/>
      <c r="AA7" s="1" t="n"/>
      <c r="AC7" s="1" t="n"/>
      <c r="AE7" s="1" t="n"/>
      <c r="AG7" s="1" t="n"/>
      <c r="AI7" s="1" t="n"/>
      <c r="AK7" s="1" t="n"/>
      <c r="AM7" s="1" t="n"/>
      <c r="AO7" s="1" t="n"/>
      <c r="AQ7" s="1" t="n"/>
      <c r="AS7" s="1" t="n"/>
      <c r="AU7" s="1" t="n"/>
      <c r="AW7" s="1" t="n"/>
      <c r="AY7" s="1" t="n"/>
      <c r="BA7" s="1" t="n"/>
      <c r="BB7" s="1" t="n"/>
      <c r="BC7" s="1" t="n"/>
      <c r="BE7" s="1" t="n"/>
      <c r="BF7" s="1" t="n"/>
      <c r="BH7" s="1" t="n"/>
      <c r="BJ7" s="1" t="n"/>
      <c r="BL7" s="1" t="n"/>
      <c r="BN7" s="1" t="n"/>
      <c r="BP7" s="1" t="n"/>
      <c r="BR7" s="1" t="n"/>
      <c r="BT7" s="1" t="n"/>
      <c r="BV7" s="1" t="n"/>
      <c r="BX7" s="1" t="n"/>
      <c r="BZ7" s="1" t="n"/>
      <c r="CB7" s="1" t="n"/>
      <c r="CD7" s="1" t="n"/>
      <c r="CF7" s="1" t="n"/>
      <c r="CH7" s="1" t="n"/>
      <c r="CJ7" s="1" t="n"/>
      <c r="CL7" s="1" t="n"/>
      <c r="CN7" s="1" t="n"/>
      <c r="CP7" s="1" t="n"/>
      <c r="CR7" s="1" t="n"/>
      <c r="CU7" s="1" t="n"/>
      <c r="CY7" s="1" t="n"/>
    </row>
    <row r="8" ht="55.2" customFormat="1" customHeight="1" s="11">
      <c r="A8" s="210" t="inlineStr">
        <is>
          <t>ลำดับ</t>
        </is>
      </c>
      <c r="B8" s="10" t="inlineStr">
        <is>
          <t>Category</t>
        </is>
      </c>
      <c r="C8" s="12" t="inlineStr">
        <is>
          <t>Product Code</t>
        </is>
      </c>
      <c r="D8" s="210" t="inlineStr">
        <is>
          <t>Description</t>
        </is>
      </c>
      <c r="E8" s="210" t="inlineStr">
        <is>
          <t>ยี่ห้อ</t>
        </is>
      </c>
      <c r="F8" s="210" t="inlineStr">
        <is>
          <t>รุ่น</t>
        </is>
      </c>
      <c r="G8" s="10" t="inlineStr">
        <is>
          <t>ประเภทสินค้า</t>
        </is>
      </c>
      <c r="H8" s="13" t="inlineStr">
        <is>
          <t>List Price</t>
        </is>
      </c>
      <c r="I8" s="18" t="inlineStr">
        <is>
          <t>Member</t>
        </is>
      </c>
      <c r="J8" s="17" t="inlineStr">
        <is>
          <t>Wholesale General</t>
        </is>
      </c>
      <c r="K8" s="10" t="inlineStr">
        <is>
          <t>สต๊อกคงเหลือ</t>
        </is>
      </c>
      <c r="L8" s="251" t="inlineStr">
        <is>
          <t>มูลค่าสินค้า</t>
        </is>
      </c>
      <c r="M8" s="18" t="inlineStr">
        <is>
          <t>Vender</t>
        </is>
      </c>
      <c r="N8" s="17" t="inlineStr">
        <is>
          <t>สินค้าโครงการ Rank C / D</t>
        </is>
      </c>
      <c r="O8" s="17" t="inlineStr">
        <is>
          <t>Rank สินค้าปัจุบัน</t>
        </is>
      </c>
      <c r="P8" s="189" t="inlineStr">
        <is>
          <t>ขาย (ชิ้น/เดือน) 2023</t>
        </is>
      </c>
      <c r="Q8" s="222" t="n"/>
      <c r="R8" s="222" t="n"/>
      <c r="S8" s="222" t="n"/>
      <c r="T8" s="222" t="n"/>
      <c r="U8" s="222" t="n"/>
      <c r="V8" s="222" t="n"/>
      <c r="W8" s="222" t="n"/>
      <c r="X8" s="222" t="n"/>
      <c r="Y8" s="222" t="n"/>
      <c r="Z8" s="222" t="n"/>
      <c r="AA8" s="222" t="n"/>
      <c r="AB8" s="189" t="inlineStr">
        <is>
          <t>ขาย (ชิ้น/เดือน) 2024</t>
        </is>
      </c>
      <c r="AC8" s="222" t="n"/>
      <c r="AD8" s="222" t="n"/>
      <c r="AE8" s="222" t="n"/>
      <c r="AF8" s="222" t="n"/>
      <c r="AG8" s="222" t="n"/>
      <c r="AH8" s="222" t="n"/>
      <c r="AI8" s="222" t="n"/>
      <c r="AJ8" s="222" t="n"/>
      <c r="AK8" s="222" t="n"/>
      <c r="AL8" s="222" t="n"/>
      <c r="AM8" s="222" t="n"/>
      <c r="AN8" s="10" t="inlineStr">
        <is>
          <t>ขาย (ชิ้น/เดือน) 2025</t>
        </is>
      </c>
      <c r="AO8" s="222" t="n"/>
      <c r="AP8" s="222" t="n"/>
      <c r="AQ8" s="222" t="n"/>
      <c r="AR8" s="222" t="n"/>
      <c r="AS8" s="222" t="n"/>
      <c r="AT8" s="222" t="n"/>
      <c r="AU8" s="222" t="n"/>
      <c r="AV8" s="222" t="n"/>
      <c r="AW8" s="222" t="n"/>
      <c r="AX8" s="222" t="n"/>
      <c r="AY8" s="223" t="n"/>
      <c r="AZ8" s="189" t="inlineStr">
        <is>
          <t>ขาย (ชิ้น/เดือน) 2026</t>
        </is>
      </c>
      <c r="BA8" s="222" t="n"/>
      <c r="BB8" s="222" t="n"/>
      <c r="BC8" s="222" t="n"/>
      <c r="BD8" s="222" t="n"/>
      <c r="BE8" s="222" t="n"/>
      <c r="BF8" s="222" t="n"/>
      <c r="BG8" s="222" t="n"/>
      <c r="BH8" s="208" t="n"/>
      <c r="BI8" s="222" t="n"/>
      <c r="BJ8" s="222" t="n"/>
      <c r="BK8" s="222" t="n"/>
      <c r="BL8" s="223" t="n"/>
      <c r="BM8" s="252" t="inlineStr">
        <is>
          <t>ขาย (บาท/เดือน) 2023</t>
        </is>
      </c>
      <c r="BN8" s="222" t="n"/>
      <c r="BO8" s="222" t="n"/>
      <c r="BP8" s="222" t="n"/>
      <c r="BQ8" s="222" t="n"/>
      <c r="BR8" s="222" t="n"/>
      <c r="BS8" s="222" t="n"/>
      <c r="BT8" s="222" t="n"/>
      <c r="BU8" s="222" t="n"/>
      <c r="BV8" s="222" t="n"/>
      <c r="BW8" s="222" t="n"/>
      <c r="BX8" s="223" t="n"/>
      <c r="BY8" s="206" t="inlineStr">
        <is>
          <t>ขาย (บาท/เดือน) 2024</t>
        </is>
      </c>
      <c r="BZ8" s="222" t="n"/>
      <c r="CA8" s="222" t="n"/>
      <c r="CB8" s="222" t="n"/>
      <c r="CC8" s="222" t="n"/>
      <c r="CD8" s="222" t="n"/>
      <c r="CE8" s="222" t="n"/>
      <c r="CF8" s="222" t="n"/>
      <c r="CG8" s="222" t="n"/>
      <c r="CH8" s="222" t="n"/>
      <c r="CI8" s="222" t="n"/>
      <c r="CJ8" s="222" t="n"/>
      <c r="CK8" s="252" t="inlineStr">
        <is>
          <t>ขาย (บาท/เดือน) 2025</t>
        </is>
      </c>
      <c r="CL8" s="222" t="n"/>
      <c r="CM8" s="222" t="n"/>
      <c r="CN8" s="222" t="n"/>
      <c r="CO8" s="222" t="n"/>
      <c r="CP8" s="222" t="n"/>
      <c r="CQ8" s="222" t="n"/>
      <c r="CR8" s="222" t="n"/>
      <c r="CS8" s="222" t="n"/>
      <c r="CT8" s="222" t="n"/>
      <c r="CU8" s="222" t="n"/>
      <c r="CV8" s="223" t="n"/>
      <c r="CW8" s="205" t="inlineStr">
        <is>
          <t>ขาย (บาท/เดือน) 2026</t>
        </is>
      </c>
      <c r="CX8" s="222" t="n"/>
      <c r="CY8" s="222" t="n"/>
      <c r="CZ8" s="222" t="n"/>
      <c r="DA8" s="222" t="n"/>
      <c r="DB8" s="222" t="n"/>
      <c r="DC8" s="222" t="n"/>
      <c r="DD8" s="222" t="n"/>
      <c r="DE8" s="149" t="n"/>
      <c r="DF8" s="149" t="n"/>
      <c r="DG8" s="149" t="n"/>
      <c r="DH8" s="149" t="n"/>
      <c r="DI8" s="150" t="n"/>
      <c r="DJ8" s="10" t="inlineStr">
        <is>
          <t>New Product</t>
        </is>
      </c>
      <c r="DK8" s="144" t="inlineStr">
        <is>
          <t>บาร์ BOM TYPE</t>
        </is>
      </c>
    </row>
    <row r="9" ht="24" customFormat="1" customHeight="1" s="8">
      <c r="A9" s="6" t="n"/>
      <c r="B9" s="7" t="n"/>
      <c r="C9" s="6" t="n"/>
      <c r="D9" s="15" t="n"/>
      <c r="E9" s="7" t="n"/>
      <c r="F9" s="7" t="n"/>
      <c r="G9" s="7" t="n"/>
      <c r="H9" s="7" t="n"/>
      <c r="I9" s="7" t="n"/>
      <c r="J9" s="7" t="n"/>
      <c r="K9" s="6" t="n"/>
      <c r="L9" s="253" t="inlineStr">
        <is>
          <t>จำนวนคงเหลือxราคาส่ง</t>
        </is>
      </c>
      <c r="M9" s="145" t="n"/>
      <c r="N9" s="6" t="n"/>
      <c r="O9" s="6" t="n"/>
      <c r="P9" s="254" t="inlineStr">
        <is>
          <t>ม.ค.</t>
        </is>
      </c>
      <c r="Q9" s="254" t="inlineStr">
        <is>
          <t>ก.พ.</t>
        </is>
      </c>
      <c r="R9" s="254" t="inlineStr">
        <is>
          <t>มี.ค.</t>
        </is>
      </c>
      <c r="S9" s="254" t="inlineStr">
        <is>
          <t>เม.ย.</t>
        </is>
      </c>
      <c r="T9" s="254" t="inlineStr">
        <is>
          <t>พ.ค.</t>
        </is>
      </c>
      <c r="U9" s="254" t="inlineStr">
        <is>
          <t>มิ.ย.</t>
        </is>
      </c>
      <c r="V9" s="254" t="inlineStr">
        <is>
          <t>ก.ค.</t>
        </is>
      </c>
      <c r="W9" s="254" t="inlineStr">
        <is>
          <t>ส.ค.</t>
        </is>
      </c>
      <c r="X9" s="254" t="inlineStr">
        <is>
          <t>ก.ย.</t>
        </is>
      </c>
      <c r="Y9" s="254" t="inlineStr">
        <is>
          <t>ต.ค.</t>
        </is>
      </c>
      <c r="Z9" s="254" t="inlineStr">
        <is>
          <t>พ.ย.</t>
        </is>
      </c>
      <c r="AA9" s="254" t="inlineStr">
        <is>
          <t>ธ.ค.</t>
        </is>
      </c>
      <c r="AB9" s="7" t="inlineStr">
        <is>
          <t>ม.ค.</t>
        </is>
      </c>
      <c r="AC9" s="7" t="inlineStr">
        <is>
          <t>ก.พ.</t>
        </is>
      </c>
      <c r="AD9" s="7" t="inlineStr">
        <is>
          <t>มี.ค.</t>
        </is>
      </c>
      <c r="AE9" s="7" t="inlineStr">
        <is>
          <t>เม.ย.</t>
        </is>
      </c>
      <c r="AF9" s="7" t="inlineStr">
        <is>
          <t>พ.ค.</t>
        </is>
      </c>
      <c r="AG9" s="7" t="inlineStr">
        <is>
          <t>มิ.ย.</t>
        </is>
      </c>
      <c r="AH9" s="7" t="inlineStr">
        <is>
          <t>ก.ค.</t>
        </is>
      </c>
      <c r="AI9" s="7" t="inlineStr">
        <is>
          <t>ส.ค.</t>
        </is>
      </c>
      <c r="AJ9" s="7" t="inlineStr">
        <is>
          <t>ก.ย.</t>
        </is>
      </c>
      <c r="AK9" s="7" t="inlineStr">
        <is>
          <t>ต.ค.</t>
        </is>
      </c>
      <c r="AL9" s="7" t="inlineStr">
        <is>
          <t>พ.ย.</t>
        </is>
      </c>
      <c r="AM9" s="7" t="inlineStr">
        <is>
          <t>ธ.ค.</t>
        </is>
      </c>
      <c r="AN9" s="7" t="inlineStr">
        <is>
          <t>ม.ค.</t>
        </is>
      </c>
      <c r="AO9" s="7" t="inlineStr">
        <is>
          <t>ก.พ.</t>
        </is>
      </c>
      <c r="AP9" s="7" t="inlineStr">
        <is>
          <t>มี.ค.</t>
        </is>
      </c>
      <c r="AQ9" s="7" t="inlineStr">
        <is>
          <t>เม.ย.</t>
        </is>
      </c>
      <c r="AR9" s="7" t="inlineStr">
        <is>
          <t>พ.ค.</t>
        </is>
      </c>
      <c r="AS9" s="7" t="inlineStr">
        <is>
          <t>มิ.ย.</t>
        </is>
      </c>
      <c r="AT9" s="7" t="inlineStr">
        <is>
          <t>ก.ค.</t>
        </is>
      </c>
      <c r="AU9" s="7" t="inlineStr">
        <is>
          <t>ส.ค.</t>
        </is>
      </c>
      <c r="AV9" s="7" t="inlineStr">
        <is>
          <t>ก.ย.</t>
        </is>
      </c>
      <c r="AW9" s="7" t="inlineStr">
        <is>
          <t>ต.ค.</t>
        </is>
      </c>
      <c r="AX9" s="7" t="inlineStr">
        <is>
          <t>พ.ย.</t>
        </is>
      </c>
      <c r="AY9" s="7" t="inlineStr">
        <is>
          <t>ธ.ค.</t>
        </is>
      </c>
      <c r="AZ9" s="7" t="inlineStr">
        <is>
          <t>ม.ค.</t>
        </is>
      </c>
      <c r="BA9" s="7" t="inlineStr">
        <is>
          <t>ก.พ.</t>
        </is>
      </c>
      <c r="BB9" s="7" t="inlineStr">
        <is>
          <t>มี.ค.</t>
        </is>
      </c>
      <c r="BC9" s="7" t="inlineStr">
        <is>
          <t>เม.ย.</t>
        </is>
      </c>
      <c r="BD9" s="7" t="inlineStr">
        <is>
          <t>พ.ค.</t>
        </is>
      </c>
      <c r="BE9" s="7" t="inlineStr">
        <is>
          <t>มิ.ย.</t>
        </is>
      </c>
      <c r="BF9" s="7" t="inlineStr">
        <is>
          <t>ก.ค.</t>
        </is>
      </c>
      <c r="BG9" s="7" t="inlineStr">
        <is>
          <t>ส.ค.</t>
        </is>
      </c>
      <c r="BH9" s="152" t="inlineStr">
        <is>
          <t>AV Y2023</t>
        </is>
      </c>
      <c r="BI9" s="152" t="inlineStr">
        <is>
          <t>AV Y2024</t>
        </is>
      </c>
      <c r="BJ9" s="152" t="inlineStr">
        <is>
          <t>AV Y2025</t>
        </is>
      </c>
      <c r="BK9" s="152" t="inlineStr">
        <is>
          <t>AV Y2026</t>
        </is>
      </c>
      <c r="BL9" s="152" t="inlineStr">
        <is>
          <t>AV 6M</t>
        </is>
      </c>
      <c r="BM9" s="6" t="inlineStr">
        <is>
          <t>ม.ค.</t>
        </is>
      </c>
      <c r="BN9" s="6" t="inlineStr">
        <is>
          <t>ก.พ.</t>
        </is>
      </c>
      <c r="BO9" s="6" t="inlineStr">
        <is>
          <t>มี.ค.</t>
        </is>
      </c>
      <c r="BP9" s="6" t="inlineStr">
        <is>
          <t>เม.ย.</t>
        </is>
      </c>
      <c r="BQ9" s="6" t="inlineStr">
        <is>
          <t>พ.ค.</t>
        </is>
      </c>
      <c r="BR9" s="6" t="inlineStr">
        <is>
          <t>มิ.ย.</t>
        </is>
      </c>
      <c r="BS9" s="6" t="inlineStr">
        <is>
          <t>ก.ค.</t>
        </is>
      </c>
      <c r="BT9" s="6" t="inlineStr">
        <is>
          <t>ส.ค.</t>
        </is>
      </c>
      <c r="BU9" s="6" t="inlineStr">
        <is>
          <t>ก.ย.</t>
        </is>
      </c>
      <c r="BV9" s="6" t="inlineStr">
        <is>
          <t>ต.ค.</t>
        </is>
      </c>
      <c r="BW9" s="6" t="inlineStr">
        <is>
          <t>พ.ย.</t>
        </is>
      </c>
      <c r="BX9" s="6" t="inlineStr">
        <is>
          <t>ธ.ค.</t>
        </is>
      </c>
      <c r="BY9" s="6" t="inlineStr">
        <is>
          <t>ม.ค.</t>
        </is>
      </c>
      <c r="BZ9" s="6" t="inlineStr">
        <is>
          <t>ก.พ.</t>
        </is>
      </c>
      <c r="CA9" s="6" t="inlineStr">
        <is>
          <t>มี.ค.</t>
        </is>
      </c>
      <c r="CB9" s="6" t="inlineStr">
        <is>
          <t>เม.ย.</t>
        </is>
      </c>
      <c r="CC9" s="6" t="inlineStr">
        <is>
          <t>พ.ค.</t>
        </is>
      </c>
      <c r="CD9" s="6" t="inlineStr">
        <is>
          <t>มิ.ย.</t>
        </is>
      </c>
      <c r="CE9" s="6" t="inlineStr">
        <is>
          <t>ก.ค.</t>
        </is>
      </c>
      <c r="CF9" s="6" t="inlineStr">
        <is>
          <t>ส.ค.</t>
        </is>
      </c>
      <c r="CG9" s="6" t="inlineStr">
        <is>
          <t>ก.ย.</t>
        </is>
      </c>
      <c r="CH9" s="6" t="inlineStr">
        <is>
          <t>ต.ค.</t>
        </is>
      </c>
      <c r="CI9" s="6" t="inlineStr">
        <is>
          <t>พ.ย.</t>
        </is>
      </c>
      <c r="CJ9" s="6" t="inlineStr">
        <is>
          <t>ธ.ค.</t>
        </is>
      </c>
      <c r="CK9" s="6" t="inlineStr">
        <is>
          <t>ม.ค.</t>
        </is>
      </c>
      <c r="CL9" s="6" t="inlineStr">
        <is>
          <t>ก.พ.</t>
        </is>
      </c>
      <c r="CM9" s="6" t="inlineStr">
        <is>
          <t>มี.ค.</t>
        </is>
      </c>
      <c r="CN9" s="6" t="inlineStr">
        <is>
          <t>เม.ย.</t>
        </is>
      </c>
      <c r="CO9" s="6" t="inlineStr">
        <is>
          <t>พ.ค.</t>
        </is>
      </c>
      <c r="CP9" s="6" t="inlineStr">
        <is>
          <t>มิ.ย.</t>
        </is>
      </c>
      <c r="CQ9" s="6" t="inlineStr">
        <is>
          <t>ก.ค.</t>
        </is>
      </c>
      <c r="CR9" s="6" t="inlineStr">
        <is>
          <t>ส.ค.</t>
        </is>
      </c>
      <c r="CS9" s="6" t="inlineStr">
        <is>
          <t>ก.ย.</t>
        </is>
      </c>
      <c r="CT9" s="6" t="inlineStr">
        <is>
          <t>ต.ค.</t>
        </is>
      </c>
      <c r="CU9" s="6" t="inlineStr">
        <is>
          <t>พ.ย.</t>
        </is>
      </c>
      <c r="CV9" s="6" t="inlineStr">
        <is>
          <t>ธ.ค.</t>
        </is>
      </c>
      <c r="CW9" s="6" t="inlineStr">
        <is>
          <t>ม.ค.</t>
        </is>
      </c>
      <c r="CX9" s="6" t="inlineStr">
        <is>
          <t>ก.พ.</t>
        </is>
      </c>
      <c r="CY9" s="6" t="inlineStr">
        <is>
          <t>มี.ค.</t>
        </is>
      </c>
      <c r="CZ9" s="6" t="inlineStr">
        <is>
          <t>เม.ย.</t>
        </is>
      </c>
      <c r="DA9" s="6" t="inlineStr">
        <is>
          <t>พ.ค.</t>
        </is>
      </c>
      <c r="DB9" s="6" t="inlineStr">
        <is>
          <t>มิ.ย.</t>
        </is>
      </c>
      <c r="DC9" s="6" t="inlineStr">
        <is>
          <t>ก.ค.</t>
        </is>
      </c>
      <c r="DD9" s="6" t="inlineStr">
        <is>
          <t>ส.ค.</t>
        </is>
      </c>
      <c r="DE9" s="151" t="inlineStr">
        <is>
          <t>SUM Y2023</t>
        </is>
      </c>
      <c r="DF9" s="151" t="inlineStr">
        <is>
          <t>SUM Y2024</t>
        </is>
      </c>
      <c r="DG9" s="151" t="inlineStr">
        <is>
          <t>SUM Y2025</t>
        </is>
      </c>
      <c r="DH9" s="151" t="inlineStr">
        <is>
          <t>SUM Y2026</t>
        </is>
      </c>
      <c r="DI9" s="151" t="inlineStr">
        <is>
          <t>SUM 6M</t>
        </is>
      </c>
      <c r="DJ9" s="6" t="inlineStr">
        <is>
          <t>3M</t>
        </is>
      </c>
      <c r="DK9" s="15" t="n"/>
    </row>
    <row r="10">
      <c r="A10" s="1" t="n">
        <v>1</v>
      </c>
      <c r="B10" t="inlineStr">
        <is>
          <t>Loem-LB</t>
        </is>
      </c>
      <c r="C10" t="inlineStr">
        <is>
          <t>LP015CV21FETR</t>
        </is>
      </c>
      <c r="D10" t="inlineStr">
        <is>
          <t>CIVIC 2021 FE ไฟทับทิมท้าย #01 สำหรับกันชนหลัง TYPE-R 3ฟังก์ชั่น ไฟหรี่-ไฟเบรค-ไฟเลี้ยว [ไฟในกันชนท้าย,ไฟในกันชนหลัง,ไฟทับทิมหลัง]</t>
        </is>
      </c>
      <c r="E10" t="inlineStr">
        <is>
          <t>HONDA</t>
        </is>
      </c>
      <c r="F10" t="inlineStr">
        <is>
          <t>CIVIC</t>
        </is>
      </c>
      <c r="G10" t="inlineStr">
        <is>
          <t>ไฟทับทิมกันชนหลัง LED</t>
        </is>
      </c>
      <c r="H10" s="20" t="n">
        <v>1790</v>
      </c>
      <c r="I10" s="20" t="n">
        <v>1500</v>
      </c>
      <c r="J10" s="20" t="n">
        <v>1500</v>
      </c>
      <c r="K10" s="20" t="n">
        <v>0</v>
      </c>
      <c r="L10" s="20" t="n">
        <v>0</v>
      </c>
      <c r="M10" s="20" t="inlineStr">
        <is>
          <t>CBO</t>
        </is>
      </c>
      <c r="N10" s="20" t="n"/>
      <c r="O10" s="21">
        <f>IF(ROW()-9&lt;=20,"A",IF(ROW()-9&lt;=50,"B",IF(ROW()-9&lt;=101,"C","D")))</f>
        <v/>
      </c>
      <c r="P10" s="20">
        <f>SUMIFS('2023'!$M:$M,'2023'!$I:$I,$C10,'2023'!$Z:$Z,'Rank-สินค้าทั้งหมด '!P$11)</f>
        <v/>
      </c>
      <c r="Q10" s="20">
        <f>SUMIFS('2023'!$M:$M,'2023'!$I:$I,$C10,'2023'!$Z:$Z,'Rank-สินค้าทั้งหมด '!Q$11)</f>
        <v/>
      </c>
      <c r="R10" s="20">
        <f>SUMIFS('2023'!$M:$M,'2023'!$I:$I,$C10,'2023'!$Z:$Z,'Rank-สินค้าทั้งหมด '!R$11)</f>
        <v/>
      </c>
      <c r="S10" s="20">
        <f>SUMIFS('2023'!$M:$M,'2023'!$I:$I,$C10,'2023'!$Z:$Z,'Rank-สินค้าทั้งหมด '!S$11)</f>
        <v/>
      </c>
      <c r="T10" s="20">
        <f>SUMIFS('2023'!$M:$M,'2023'!$I:$I,$C10,'2023'!$Z:$Z,'Rank-สินค้าทั้งหมด '!T$11)</f>
        <v/>
      </c>
      <c r="U10" s="20">
        <f>SUMIFS('2023'!$M:$M,'2023'!$I:$I,$C10,'2023'!$Z:$Z,'Rank-สินค้าทั้งหมด '!U$11)</f>
        <v/>
      </c>
      <c r="V10" s="20">
        <f>SUMIFS('2023'!$M:$M,'2023'!$I:$I,$C10,'2023'!$Z:$Z,'Rank-สินค้าทั้งหมด '!V$11)</f>
        <v/>
      </c>
      <c r="W10" s="20">
        <f>SUMIFS('2023'!$M:$M,'2023'!$I:$I,$C10,'2023'!$Z:$Z,'Rank-สินค้าทั้งหมด '!W$11)</f>
        <v/>
      </c>
      <c r="X10" s="20">
        <f>SUMIFS('2023'!$M:$M,'2023'!$I:$I,$C10,'2023'!$Z:$Z,'Rank-สินค้าทั้งหมด '!X$11)</f>
        <v/>
      </c>
      <c r="Y10" s="20">
        <f>SUMIFS('2023'!$M:$M,'2023'!$I:$I,$C10,'2023'!$Z:$Z,'Rank-สินค้าทั้งหมด '!Y$11)</f>
        <v/>
      </c>
      <c r="Z10" s="20">
        <f>SUMIFS('2023'!$M:$M,'2023'!$I:$I,$C10,'2023'!$Z:$Z,'Rank-สินค้าทั้งหมด '!Z$11)</f>
        <v/>
      </c>
      <c r="AA10" s="20">
        <f>SUMIFS('2023'!$M:$M,'2023'!$I:$I,$C10,'2023'!$Z:$Z,'Rank-สินค้าทั้งหมด '!AA$11)</f>
        <v/>
      </c>
      <c r="AB10" s="20">
        <f>SUMIFS('2024'!$M:$M,'2024'!$I:$I,$C10,'2024'!$Z:$Z,'Rank-สินค้าทั้งหมด '!AB$11)</f>
        <v/>
      </c>
      <c r="AC10" s="20">
        <f>SUMIFS('2024'!$M:$M,'2024'!$I:$I,$C10,'2024'!$Z:$Z,'Rank-สินค้าทั้งหมด '!AC$11)</f>
        <v/>
      </c>
      <c r="AD10" s="20">
        <f>SUMIFS('2024'!$M:$M,'2024'!$I:$I,$C10,'2024'!$Z:$Z,'Rank-สินค้าทั้งหมด '!AD$11)</f>
        <v/>
      </c>
      <c r="AE10" s="20">
        <f>SUMIFS('2024'!$M:$M,'2024'!$I:$I,$C10,'2024'!$Z:$Z,'Rank-สินค้าทั้งหมด '!AE$11)</f>
        <v/>
      </c>
      <c r="AF10" s="20">
        <f>SUMIFS('2024'!$M:$M,'2024'!$I:$I,$C10,'2024'!$Z:$Z,'Rank-สินค้าทั้งหมด '!AF$11)</f>
        <v/>
      </c>
      <c r="AG10" s="20">
        <f>SUMIFS('2024'!$M:$M,'2024'!$I:$I,$C10,'2024'!$Z:$Z,'Rank-สินค้าทั้งหมด '!AG$11)</f>
        <v/>
      </c>
      <c r="AH10" s="20">
        <f>SUMIFS('2024'!$M:$M,'2024'!$I:$I,$C10,'2024'!$Z:$Z,'Rank-สินค้าทั้งหมด '!AH$11)</f>
        <v/>
      </c>
      <c r="AI10" s="20">
        <f>SUMIFS('2024'!$M:$M,'2024'!$I:$I,$C10,'2024'!$Z:$Z,'Rank-สินค้าทั้งหมด '!AI$11)</f>
        <v/>
      </c>
      <c r="AJ10" s="20">
        <f>SUMIFS('2024'!$M:$M,'2024'!$I:$I,$C10,'2024'!$Z:$Z,'Rank-สินค้าทั้งหมด '!AJ$11)</f>
        <v/>
      </c>
      <c r="AK10" s="20">
        <f>SUMIFS('2024'!$M:$M,'2024'!$I:$I,$C10,'2024'!$Z:$Z,'Rank-สินค้าทั้งหมด '!AK$11)</f>
        <v/>
      </c>
      <c r="AL10" s="20">
        <f>SUMIFS('2024'!$M:$M,'2024'!$I:$I,$C10,'2024'!$Z:$Z,'Rank-สินค้าทั้งหมด '!AL$11)</f>
        <v/>
      </c>
      <c r="AM10" s="20">
        <f>SUMIFS('2024'!$M:$M,'2024'!$I:$I,$C10,'2024'!$Z:$Z,'Rank-สินค้าทั้งหมด '!AM$11)</f>
        <v/>
      </c>
      <c r="AN10" s="20">
        <f>SUMIFS('2025'!$M:$M,'2025'!$I:$I,$C10,'2025'!$Z:$Z,'Rank-สินค้าทั้งหมด '!AN$11)</f>
        <v/>
      </c>
      <c r="AO10" s="20">
        <f>SUMIFS('2025'!$M:$M,'2025'!$I:$I,$C10,'2025'!$Z:$Z,'Rank-สินค้าทั้งหมด '!AO$11)</f>
        <v/>
      </c>
      <c r="AP10" s="20">
        <f>SUMIFS('2025'!$M:$M,'2025'!$I:$I,$C10,'2025'!$Z:$Z,'Rank-สินค้าทั้งหมด '!AP$11)</f>
        <v/>
      </c>
      <c r="AQ10" s="20">
        <f>SUMIFS('2025'!$M:$M,'2025'!$I:$I,$C10,'2025'!$Z:$Z,'Rank-สินค้าทั้งหมด '!AQ$11)</f>
        <v/>
      </c>
      <c r="AR10" s="20">
        <f>SUMIFS('2025'!$M:$M,'2025'!$I:$I,$C10,'2025'!$Z:$Z,'Rank-สินค้าทั้งหมด '!AR$11)</f>
        <v/>
      </c>
      <c r="AS10" s="20">
        <f>SUMIFS('2025'!$M:$M,'2025'!$I:$I,$C10,'2025'!$Z:$Z,'Rank-สินค้าทั้งหมด '!AS$11)</f>
        <v/>
      </c>
      <c r="AT10" s="20">
        <f>SUMIFS('2025'!$M:$M,'2025'!$I:$I,$C10,'2025'!$Z:$Z,'Rank-สินค้าทั้งหมด '!AT$11)</f>
        <v/>
      </c>
      <c r="AU10" s="20">
        <f>SUMIFS('2025'!$M:$M,'2025'!$I:$I,$C10,'2025'!$Z:$Z,'Rank-สินค้าทั้งหมด '!AU$11)</f>
        <v/>
      </c>
      <c r="AV10" s="20">
        <f>SUMIFS('2025'!$M:$M,'2025'!$I:$I,$C10,'2025'!$Z:$Z,'Rank-สินค้าทั้งหมด '!AV$11)</f>
        <v/>
      </c>
      <c r="AW10" s="20">
        <f>SUMIFS('2025'!$M:$M,'2025'!$I:$I,$C10,'2025'!$Z:$Z,'Rank-สินค้าทั้งหมด '!AW$11)</f>
        <v/>
      </c>
      <c r="AX10" s="20">
        <f>SUMIFS('2025'!$M:$M,'2025'!$I:$I,$C10,'2025'!$Z:$Z,'Rank-สินค้าทั้งหมด '!AX$11)</f>
        <v/>
      </c>
      <c r="AY10" s="20">
        <f>SUMIFS('2025'!$M:$M,'2025'!$I:$I,$C10,'2025'!$Z:$Z,'Rank-สินค้าทั้งหมด '!AY$11)</f>
        <v/>
      </c>
      <c r="AZ10" s="20">
        <f>SUMIFS('2026'!$M:$M,'2026'!$I:$I,$C10,'2026'!$Y:$Y,'Rank-สินค้าทั้งหมด '!AZ$11)</f>
        <v/>
      </c>
      <c r="BA10" s="20">
        <f>SUMIFS('2026'!$M:$M,'2026'!$I:$I,$C10,'2026'!$Y:$Y,'Rank-สินค้าทั้งหมด '!BA$11)</f>
        <v/>
      </c>
      <c r="BB10" s="20">
        <f>SUMIFS('2026'!$M:$M,'2026'!$I:$I,$C10,'2026'!$Y:$Y,'Rank-สินค้าทั้งหมด '!BB$11)</f>
        <v/>
      </c>
      <c r="BC10" s="20">
        <f>SUMIFS('2026'!$M:$M,'2026'!$I:$I,$C10,'2026'!$Y:$Y,'Rank-สินค้าทั้งหมด '!BC$11)</f>
        <v/>
      </c>
      <c r="BD10" s="20">
        <f>SUMIFS('2026'!$M:$M,'2026'!$I:$I,$C10,'2026'!$Y:$Y,'Rank-สินค้าทั้งหมด '!BD$11)</f>
        <v/>
      </c>
      <c r="BE10" s="20">
        <f>SUMIFS('2026'!$M:$M,'2026'!$I:$I,$C10,'2026'!$Y:$Y,'Rank-สินค้าทั้งหมด '!BE$11)</f>
        <v/>
      </c>
      <c r="BF10" s="20">
        <f>SUMIFS('2026'!$M:$M,'2026'!$I:$I,$C10,'2026'!$Y:$Y,'Rank-สินค้าทั้งหมด '!BF$11)</f>
        <v/>
      </c>
      <c r="BG10" s="20">
        <f>SUMIFS('2026'!$M:$M,'2026'!$I:$I,$C10,'2026'!$Y:$Y,'Rank-สินค้าทั้งหมด '!BG$11)</f>
        <v/>
      </c>
      <c r="BH10" s="20">
        <f>AVERAGEA(P10:AA10)</f>
        <v/>
      </c>
      <c r="BI10" s="20">
        <f>AVERAGEA(AB10:AM10)</f>
        <v/>
      </c>
      <c r="BJ10" s="20">
        <f>AVERAGEA(AN10:AY10)</f>
        <v/>
      </c>
      <c r="BK10" s="20">
        <f>AVERAGEA(AZ10:BG10)</f>
        <v/>
      </c>
      <c r="BL10" s="20">
        <f>AVERAGEA(BB10:BG10)</f>
        <v/>
      </c>
      <c r="BM10" s="20">
        <f>SUMIFS('2023'!$U:$U,'2023'!$I:$I,$C10,'2023'!$Z:$Z,'Rank-สินค้าทั้งหมด '!BM$11)</f>
        <v/>
      </c>
      <c r="BN10" s="20">
        <f>SUMIFS('2023'!$U:$U,'2023'!$I:$I,$C10,'2023'!$Z:$Z,'Rank-สินค้าทั้งหมด '!BN$11)</f>
        <v/>
      </c>
      <c r="BO10" s="20">
        <f>SUMIFS('2023'!$U:$U,'2023'!$I:$I,$C10,'2023'!$Z:$Z,'Rank-สินค้าทั้งหมด '!BO$11)</f>
        <v/>
      </c>
      <c r="BP10" s="20">
        <f>SUMIFS('2023'!$U:$U,'2023'!$I:$I,$C10,'2023'!$Z:$Z,'Rank-สินค้าทั้งหมด '!BP$11)</f>
        <v/>
      </c>
      <c r="BQ10" s="20">
        <f>SUMIFS('2023'!$U:$U,'2023'!$I:$I,$C10,'2023'!$Z:$Z,'Rank-สินค้าทั้งหมด '!BQ$11)</f>
        <v/>
      </c>
      <c r="BR10" s="20">
        <f>SUMIFS('2023'!$U:$U,'2023'!$I:$I,$C10,'2023'!$Z:$Z,'Rank-สินค้าทั้งหมด '!BR$11)</f>
        <v/>
      </c>
      <c r="BS10" s="20">
        <f>SUMIFS('2023'!$U:$U,'2023'!$I:$I,$C10,'2023'!$Z:$Z,'Rank-สินค้าทั้งหมด '!BS$11)</f>
        <v/>
      </c>
      <c r="BT10" s="20">
        <f>SUMIFS('2023'!$U:$U,'2023'!$I:$I,$C10,'2023'!$Z:$Z,'Rank-สินค้าทั้งหมด '!BT$11)</f>
        <v/>
      </c>
      <c r="BU10" s="20">
        <f>SUMIFS('2023'!$U:$U,'2023'!$I:$I,$C10,'2023'!$Z:$Z,'Rank-สินค้าทั้งหมด '!BU$11)</f>
        <v/>
      </c>
      <c r="BV10" s="20">
        <f>SUMIFS('2023'!$U:$U,'2023'!$I:$I,$C10,'2023'!$Z:$Z,'Rank-สินค้าทั้งหมด '!BV$11)</f>
        <v/>
      </c>
      <c r="BW10" s="20">
        <f>SUMIFS('2023'!$U:$U,'2023'!$I:$I,$C10,'2023'!$Z:$Z,'Rank-สินค้าทั้งหมด '!BW$11)</f>
        <v/>
      </c>
      <c r="BX10" s="20">
        <f>SUMIFS('2023'!$U:$U,'2023'!$I:$I,$C10,'2023'!$Z:$Z,'Rank-สินค้าทั้งหมด '!BX$11)</f>
        <v/>
      </c>
      <c r="BY10" s="20">
        <f>SUMIFS('2024'!$U:$U,'2024'!$I:$I,$C10,'2024'!$Z:$Z,'Rank-สินค้าทั้งหมด '!BY$11)</f>
        <v/>
      </c>
      <c r="BZ10" s="20">
        <f>SUMIFS('2024'!$U:$U,'2024'!$I:$I,$C10,'2024'!$Z:$Z,'Rank-สินค้าทั้งหมด '!BZ$11)</f>
        <v/>
      </c>
      <c r="CA10" s="20">
        <f>SUMIFS('2024'!$U:$U,'2024'!$I:$I,$C10,'2024'!$Z:$Z,'Rank-สินค้าทั้งหมด '!CA$11)</f>
        <v/>
      </c>
      <c r="CB10" s="20">
        <f>SUMIFS('2024'!$U:$U,'2024'!$I:$I,$C10,'2024'!$Z:$Z,'Rank-สินค้าทั้งหมด '!CB$11)</f>
        <v/>
      </c>
      <c r="CC10" s="20">
        <f>SUMIFS('2024'!$U:$U,'2024'!$I:$I,$C10,'2024'!$Z:$Z,'Rank-สินค้าทั้งหมด '!CC$11)</f>
        <v/>
      </c>
      <c r="CD10" s="20">
        <f>SUMIFS('2024'!$U:$U,'2024'!$I:$I,$C10,'2024'!$Z:$Z,'Rank-สินค้าทั้งหมด '!CD$11)</f>
        <v/>
      </c>
      <c r="CE10" s="20">
        <f>SUMIFS('2024'!$U:$U,'2024'!$I:$I,$C10,'2024'!$Z:$Z,'Rank-สินค้าทั้งหมด '!CE$11)</f>
        <v/>
      </c>
      <c r="CF10" s="20">
        <f>SUMIFS('2024'!$U:$U,'2024'!$I:$I,$C10,'2024'!$Z:$Z,'Rank-สินค้าทั้งหมด '!CF$11)</f>
        <v/>
      </c>
      <c r="CG10" s="20">
        <f>SUMIFS('2024'!$U:$U,'2024'!$I:$I,$C10,'2024'!$Z:$Z,'Rank-สินค้าทั้งหมด '!CG$11)</f>
        <v/>
      </c>
      <c r="CH10" s="20">
        <f>SUMIFS('2024'!$U:$U,'2024'!$I:$I,$C10,'2024'!$Z:$Z,'Rank-สินค้าทั้งหมด '!CH$11)</f>
        <v/>
      </c>
      <c r="CI10" s="20">
        <f>SUMIFS('2024'!$U:$U,'2024'!$I:$I,$C10,'2024'!$Z:$Z,'Rank-สินค้าทั้งหมด '!CI$11)</f>
        <v/>
      </c>
      <c r="CJ10" s="20">
        <f>SUMIFS('2024'!$U:$U,'2024'!$I:$I,$C10,'2024'!$Z:$Z,'Rank-สินค้าทั้งหมด '!CJ$11)</f>
        <v/>
      </c>
      <c r="CK10" s="20">
        <f>SUMIFS('2025'!$U:$U,'2025'!$I:$I,$C10,'2025'!$Z:$Z,'Rank-สินค้าทั้งหมด '!CK$11)</f>
        <v/>
      </c>
      <c r="CL10" s="20">
        <f>SUMIFS('2025'!$U:$U,'2025'!$I:$I,$C10,'2025'!$Z:$Z,'Rank-สินค้าทั้งหมด '!CL$11)</f>
        <v/>
      </c>
      <c r="CM10" s="20">
        <f>SUMIFS('2025'!$U:$U,'2025'!$I:$I,$C10,'2025'!$Z:$Z,'Rank-สินค้าทั้งหมด '!CM$11)</f>
        <v/>
      </c>
      <c r="CN10" s="20">
        <f>SUMIFS('2025'!$U:$U,'2025'!$I:$I,$C10,'2025'!$Z:$Z,'Rank-สินค้าทั้งหมด '!CN$11)</f>
        <v/>
      </c>
      <c r="CO10" s="20">
        <f>SUMIFS('2025'!$U:$U,'2025'!$I:$I,$C10,'2025'!$Z:$Z,'Rank-สินค้าทั้งหมด '!CO$11)</f>
        <v/>
      </c>
      <c r="CP10" s="20">
        <f>SUMIFS('2025'!$U:$U,'2025'!$I:$I,$C10,'2025'!$Z:$Z,'Rank-สินค้าทั้งหมด '!CP$11)</f>
        <v/>
      </c>
      <c r="CQ10" s="20">
        <f>SUMIFS('2025'!$U:$U,'2025'!$I:$I,$C10,'2025'!$Z:$Z,'Rank-สินค้าทั้งหมด '!CQ$11)</f>
        <v/>
      </c>
      <c r="CR10" s="20">
        <f>SUMIFS('2025'!$U:$U,'2025'!$I:$I,$C10,'2025'!$Z:$Z,'Rank-สินค้าทั้งหมด '!CR$11)</f>
        <v/>
      </c>
      <c r="CS10" s="20">
        <f>SUMIFS('2025'!$U:$U,'2025'!$I:$I,$C10,'2025'!$Z:$Z,'Rank-สินค้าทั้งหมด '!CS$11)</f>
        <v/>
      </c>
      <c r="CT10" s="20">
        <f>SUMIFS('2025'!$U:$U,'2025'!$I:$I,$C10,'2025'!$Z:$Z,'Rank-สินค้าทั้งหมด '!CT$11)</f>
        <v/>
      </c>
      <c r="CU10" s="20">
        <f>SUMIFS('2025'!$U:$U,'2025'!$I:$I,$C10,'2025'!$Z:$Z,'Rank-สินค้าทั้งหมด '!CU$11)</f>
        <v/>
      </c>
      <c r="CV10" s="20">
        <f>SUMIFS('2025'!$U:$U,'2025'!$I:$I,$C10,'2025'!$Z:$Z,'Rank-สินค้าทั้งหมด '!CV$11)</f>
        <v/>
      </c>
      <c r="CW10" s="20">
        <f>SUMIFS('2026'!$U:$U,'2026'!$I:$I,$C10,'2026'!$Y:$Y,'Rank-สินค้าทั้งหมด '!CW$11)</f>
        <v/>
      </c>
      <c r="CX10" s="20">
        <f>SUMIFS('2026'!$U:$U,'2026'!$I:$I,$C10,'2026'!$Y:$Y,'Rank-สินค้าทั้งหมด '!CX$11)</f>
        <v/>
      </c>
      <c r="CY10" s="20">
        <f>SUMIFS('2026'!$U:$U,'2026'!$I:$I,$C10,'2026'!$Y:$Y,'Rank-สินค้าทั้งหมด '!CY$11)</f>
        <v/>
      </c>
      <c r="CZ10" s="20">
        <f>SUMIFS('2026'!$U:$U,'2026'!$I:$I,$C10,'2026'!$Y:$Y,'Rank-สินค้าทั้งหมด '!CZ$11)</f>
        <v/>
      </c>
      <c r="DA10" s="20">
        <f>SUMIFS('2026'!$U:$U,'2026'!$I:$I,$C10,'2026'!$Y:$Y,'Rank-สินค้าทั้งหมด '!DA$11)</f>
        <v/>
      </c>
      <c r="DB10" s="20">
        <f>SUMIFS('2026'!$U:$U,'2026'!$I:$I,$C10,'2026'!$Y:$Y,'Rank-สินค้าทั้งหมด '!DB$11)</f>
        <v/>
      </c>
      <c r="DC10" s="20">
        <f>SUMIFS('2026'!$U:$U,'2026'!$I:$I,$C10,'2026'!$Y:$Y,'Rank-สินค้าทั้งหมด '!DC$11)</f>
        <v/>
      </c>
      <c r="DD10" s="20">
        <f>SUMIFS('2026'!$U:$U,'2026'!$I:$I,$C10,'2026'!$Y:$Y,'Rank-สินค้าทั้งหมด '!DD$11)</f>
        <v/>
      </c>
      <c r="DE10" s="20">
        <f>SUM(BM10:BX10)</f>
        <v/>
      </c>
      <c r="DF10" s="20">
        <f>SUM(BY10:CJ10)</f>
        <v/>
      </c>
      <c r="DG10" s="20">
        <f>SUM(CK10:CV10)</f>
        <v/>
      </c>
      <c r="DH10" s="20">
        <f>SUM(CW10:DD10)</f>
        <v/>
      </c>
      <c r="DI10" s="20">
        <f>SUM(CY10:DD10)</f>
        <v/>
      </c>
      <c r="DJ10" t="inlineStr">
        <is>
          <t>New Product</t>
        </is>
      </c>
    </row>
    <row r="11">
      <c r="A11" s="1" t="n">
        <v>2</v>
      </c>
      <c r="B11" t="inlineStr">
        <is>
          <t>ProD</t>
        </is>
      </c>
      <c r="C11" t="inlineStr">
        <is>
          <t>PD-2026-001</t>
        </is>
      </c>
      <c r="D11" t="inlineStr">
        <is>
          <t>Promotion โปรแรงจัดเต็ม! สปอยเลอร์  ซื้อ 5 ตัว แถมฟรี 1 ตัว  (PRO B)
เงื่อนไข
- สินค้าทั้ง 6 ชิ้น จะต้องเป็นรุ่นเดียวกันทั้งหมด
- สปอยเลอร์ที่มีราคาเกิน 3,000 บาท ไม่เข้าร่วม</t>
        </is>
      </c>
      <c r="E11" t="inlineStr">
        <is>
          <t>สินค้า Universal</t>
        </is>
      </c>
      <c r="F11" t="inlineStr">
        <is>
          <t>สินค้า Universal</t>
        </is>
      </c>
      <c r="G11" t="inlineStr">
        <is>
          <t>ส่วนลด/แถมSALE PROMOTION (ตามที่กำหนดเวลาไว้ )</t>
        </is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/>
      <c r="N11" s="20" t="n"/>
      <c r="O11" s="21">
        <f>IF(ROW()-9&lt;=20,"A",IF(ROW()-9&lt;=50,"B",IF(ROW()-9&lt;=101,"C","D")))</f>
        <v/>
      </c>
      <c r="P11" s="20">
        <f>SUMIFS('2023'!$M:$M,'2023'!$I:$I,$C11,'2023'!$Z:$Z,'Rank-สินค้าทั้งหมด '!P$11)</f>
        <v/>
      </c>
      <c r="Q11" s="20">
        <f>SUMIFS('2023'!$M:$M,'2023'!$I:$I,$C11,'2023'!$Z:$Z,'Rank-สินค้าทั้งหมด '!Q$11)</f>
        <v/>
      </c>
      <c r="R11" s="20">
        <f>SUMIFS('2023'!$M:$M,'2023'!$I:$I,$C11,'2023'!$Z:$Z,'Rank-สินค้าทั้งหมด '!R$11)</f>
        <v/>
      </c>
      <c r="S11" s="20">
        <f>SUMIFS('2023'!$M:$M,'2023'!$I:$I,$C11,'2023'!$Z:$Z,'Rank-สินค้าทั้งหมด '!S$11)</f>
        <v/>
      </c>
      <c r="T11" s="20">
        <f>SUMIFS('2023'!$M:$M,'2023'!$I:$I,$C11,'2023'!$Z:$Z,'Rank-สินค้าทั้งหมด '!T$11)</f>
        <v/>
      </c>
      <c r="U11" s="20">
        <f>SUMIFS('2023'!$M:$M,'2023'!$I:$I,$C11,'2023'!$Z:$Z,'Rank-สินค้าทั้งหมด '!U$11)</f>
        <v/>
      </c>
      <c r="V11" s="20">
        <f>SUMIFS('2023'!$M:$M,'2023'!$I:$I,$C11,'2023'!$Z:$Z,'Rank-สินค้าทั้งหมด '!V$11)</f>
        <v/>
      </c>
      <c r="W11" s="20">
        <f>SUMIFS('2023'!$M:$M,'2023'!$I:$I,$C11,'2023'!$Z:$Z,'Rank-สินค้าทั้งหมด '!W$11)</f>
        <v/>
      </c>
      <c r="X11" s="20">
        <f>SUMIFS('2023'!$M:$M,'2023'!$I:$I,$C11,'2023'!$Z:$Z,'Rank-สินค้าทั้งหมด '!X$11)</f>
        <v/>
      </c>
      <c r="Y11" s="20">
        <f>SUMIFS('2023'!$M:$M,'2023'!$I:$I,$C11,'2023'!$Z:$Z,'Rank-สินค้าทั้งหมด '!Y$11)</f>
        <v/>
      </c>
      <c r="Z11" s="20">
        <f>SUMIFS('2023'!$M:$M,'2023'!$I:$I,$C11,'2023'!$Z:$Z,'Rank-สินค้าทั้งหมด '!Z$11)</f>
        <v/>
      </c>
      <c r="AA11" s="20">
        <f>SUMIFS('2023'!$M:$M,'2023'!$I:$I,$C11,'2023'!$Z:$Z,'Rank-สินค้าทั้งหมด '!AA$11)</f>
        <v/>
      </c>
      <c r="AB11" s="20">
        <f>SUMIFS('2024'!$M:$M,'2024'!$I:$I,$C11,'2024'!$Z:$Z,'Rank-สินค้าทั้งหมด '!AB$11)</f>
        <v/>
      </c>
      <c r="AC11" s="20">
        <f>SUMIFS('2024'!$M:$M,'2024'!$I:$I,$C11,'2024'!$Z:$Z,'Rank-สินค้าทั้งหมด '!AC$11)</f>
        <v/>
      </c>
      <c r="AD11" s="20">
        <f>SUMIFS('2024'!$M:$M,'2024'!$I:$I,$C11,'2024'!$Z:$Z,'Rank-สินค้าทั้งหมด '!AD$11)</f>
        <v/>
      </c>
      <c r="AE11" s="20">
        <f>SUMIFS('2024'!$M:$M,'2024'!$I:$I,$C11,'2024'!$Z:$Z,'Rank-สินค้าทั้งหมด '!AE$11)</f>
        <v/>
      </c>
      <c r="AF11" s="20">
        <f>SUMIFS('2024'!$M:$M,'2024'!$I:$I,$C11,'2024'!$Z:$Z,'Rank-สินค้าทั้งหมด '!AF$11)</f>
        <v/>
      </c>
      <c r="AG11" s="20">
        <f>SUMIFS('2024'!$M:$M,'2024'!$I:$I,$C11,'2024'!$Z:$Z,'Rank-สินค้าทั้งหมด '!AG$11)</f>
        <v/>
      </c>
      <c r="AH11" s="20">
        <f>SUMIFS('2024'!$M:$M,'2024'!$I:$I,$C11,'2024'!$Z:$Z,'Rank-สินค้าทั้งหมด '!AH$11)</f>
        <v/>
      </c>
      <c r="AI11" s="20">
        <f>SUMIFS('2024'!$M:$M,'2024'!$I:$I,$C11,'2024'!$Z:$Z,'Rank-สินค้าทั้งหมด '!AI$11)</f>
        <v/>
      </c>
      <c r="AJ11" s="20">
        <f>SUMIFS('2024'!$M:$M,'2024'!$I:$I,$C11,'2024'!$Z:$Z,'Rank-สินค้าทั้งหมด '!AJ$11)</f>
        <v/>
      </c>
      <c r="AK11" s="20">
        <f>SUMIFS('2024'!$M:$M,'2024'!$I:$I,$C11,'2024'!$Z:$Z,'Rank-สินค้าทั้งหมด '!AK$11)</f>
        <v/>
      </c>
      <c r="AL11" s="20">
        <f>SUMIFS('2024'!$M:$M,'2024'!$I:$I,$C11,'2024'!$Z:$Z,'Rank-สินค้าทั้งหมด '!AL$11)</f>
        <v/>
      </c>
      <c r="AM11" s="20">
        <f>SUMIFS('2024'!$M:$M,'2024'!$I:$I,$C11,'2024'!$Z:$Z,'Rank-สินค้าทั้งหมด '!AM$11)</f>
        <v/>
      </c>
      <c r="AN11" s="20">
        <f>SUMIFS('2025'!$M:$M,'2025'!$I:$I,$C11,'2025'!$Z:$Z,'Rank-สินค้าทั้งหมด '!AN$11)</f>
        <v/>
      </c>
      <c r="AO11" s="20">
        <f>SUMIFS('2025'!$M:$M,'2025'!$I:$I,$C11,'2025'!$Z:$Z,'Rank-สินค้าทั้งหมด '!AO$11)</f>
        <v/>
      </c>
      <c r="AP11" s="20">
        <f>SUMIFS('2025'!$M:$M,'2025'!$I:$I,$C11,'2025'!$Z:$Z,'Rank-สินค้าทั้งหมด '!AP$11)</f>
        <v/>
      </c>
      <c r="AQ11" s="20">
        <f>SUMIFS('2025'!$M:$M,'2025'!$I:$I,$C11,'2025'!$Z:$Z,'Rank-สินค้าทั้งหมด '!AQ$11)</f>
        <v/>
      </c>
      <c r="AR11" s="20">
        <f>SUMIFS('2025'!$M:$M,'2025'!$I:$I,$C11,'2025'!$Z:$Z,'Rank-สินค้าทั้งหมด '!AR$11)</f>
        <v/>
      </c>
      <c r="AS11" s="20">
        <f>SUMIFS('2025'!$M:$M,'2025'!$I:$I,$C11,'2025'!$Z:$Z,'Rank-สินค้าทั้งหมด '!AS$11)</f>
        <v/>
      </c>
      <c r="AT11" s="20">
        <f>SUMIFS('2025'!$M:$M,'2025'!$I:$I,$C11,'2025'!$Z:$Z,'Rank-สินค้าทั้งหมด '!AT$11)</f>
        <v/>
      </c>
      <c r="AU11" s="20">
        <f>SUMIFS('2025'!$M:$M,'2025'!$I:$I,$C11,'2025'!$Z:$Z,'Rank-สินค้าทั้งหมด '!AU$11)</f>
        <v/>
      </c>
      <c r="AV11" s="20">
        <f>SUMIFS('2025'!$M:$M,'2025'!$I:$I,$C11,'2025'!$Z:$Z,'Rank-สินค้าทั้งหมด '!AV$11)</f>
        <v/>
      </c>
      <c r="AW11" s="20">
        <f>SUMIFS('2025'!$M:$M,'2025'!$I:$I,$C11,'2025'!$Z:$Z,'Rank-สินค้าทั้งหมด '!AW$11)</f>
        <v/>
      </c>
      <c r="AX11" s="20">
        <f>SUMIFS('2025'!$M:$M,'2025'!$I:$I,$C11,'2025'!$Z:$Z,'Rank-สินค้าทั้งหมด '!AX$11)</f>
        <v/>
      </c>
      <c r="AY11" s="20">
        <f>SUMIFS('2025'!$M:$M,'2025'!$I:$I,$C11,'2025'!$Z:$Z,'Rank-สินค้าทั้งหมด '!AY$11)</f>
        <v/>
      </c>
      <c r="AZ11" s="20">
        <f>SUMIFS('2026'!$M:$M,'2026'!$I:$I,$C11,'2026'!$Y:$Y,'Rank-สินค้าทั้งหมด '!AZ$11)</f>
        <v/>
      </c>
      <c r="BA11" s="20">
        <f>SUMIFS('2026'!$M:$M,'2026'!$I:$I,$C11,'2026'!$Y:$Y,'Rank-สินค้าทั้งหมด '!BA$11)</f>
        <v/>
      </c>
      <c r="BB11" s="20">
        <f>SUMIFS('2026'!$M:$M,'2026'!$I:$I,$C11,'2026'!$Y:$Y,'Rank-สินค้าทั้งหมด '!BB$11)</f>
        <v/>
      </c>
      <c r="BC11" s="20">
        <f>SUMIFS('2026'!$M:$M,'2026'!$I:$I,$C11,'2026'!$Y:$Y,'Rank-สินค้าทั้งหมด '!BC$11)</f>
        <v/>
      </c>
      <c r="BD11" s="20">
        <f>SUMIFS('2026'!$M:$M,'2026'!$I:$I,$C11,'2026'!$Y:$Y,'Rank-สินค้าทั้งหมด '!BD$11)</f>
        <v/>
      </c>
      <c r="BE11" s="20">
        <f>SUMIFS('2026'!$M:$M,'2026'!$I:$I,$C11,'2026'!$Y:$Y,'Rank-สินค้าทั้งหมด '!BE$11)</f>
        <v/>
      </c>
      <c r="BF11" s="20">
        <f>SUMIFS('2026'!$M:$M,'2026'!$I:$I,$C11,'2026'!$Y:$Y,'Rank-สินค้าทั้งหมด '!BF$11)</f>
        <v/>
      </c>
      <c r="BG11" s="20">
        <f>SUMIFS('2026'!$M:$M,'2026'!$I:$I,$C11,'2026'!$Y:$Y,'Rank-สินค้าทั้งหมด '!BG$11)</f>
        <v/>
      </c>
      <c r="BH11" s="20">
        <f>AVERAGEA(P11:AA11)</f>
        <v/>
      </c>
      <c r="BI11" s="20">
        <f>AVERAGEA(AB11:AM11)</f>
        <v/>
      </c>
      <c r="BJ11" s="20">
        <f>AVERAGEA(AN11:AY11)</f>
        <v/>
      </c>
      <c r="BK11" s="20">
        <f>AVERAGEA(AZ11:BG11)</f>
        <v/>
      </c>
      <c r="BL11" s="20">
        <f>AVERAGEA(BB11:BG11)</f>
        <v/>
      </c>
      <c r="BM11" s="20">
        <f>SUMIFS('2023'!$U:$U,'2023'!$I:$I,$C11,'2023'!$Z:$Z,'Rank-สินค้าทั้งหมด '!BM$11)</f>
        <v/>
      </c>
      <c r="BN11" s="20">
        <f>SUMIFS('2023'!$U:$U,'2023'!$I:$I,$C11,'2023'!$Z:$Z,'Rank-สินค้าทั้งหมด '!BN$11)</f>
        <v/>
      </c>
      <c r="BO11" s="20">
        <f>SUMIFS('2023'!$U:$U,'2023'!$I:$I,$C11,'2023'!$Z:$Z,'Rank-สินค้าทั้งหมด '!BO$11)</f>
        <v/>
      </c>
      <c r="BP11" s="20">
        <f>SUMIFS('2023'!$U:$U,'2023'!$I:$I,$C11,'2023'!$Z:$Z,'Rank-สินค้าทั้งหมด '!BP$11)</f>
        <v/>
      </c>
      <c r="BQ11" s="20">
        <f>SUMIFS('2023'!$U:$U,'2023'!$I:$I,$C11,'2023'!$Z:$Z,'Rank-สินค้าทั้งหมด '!BQ$11)</f>
        <v/>
      </c>
      <c r="BR11" s="20">
        <f>SUMIFS('2023'!$U:$U,'2023'!$I:$I,$C11,'2023'!$Z:$Z,'Rank-สินค้าทั้งหมด '!BR$11)</f>
        <v/>
      </c>
      <c r="BS11" s="20">
        <f>SUMIFS('2023'!$U:$U,'2023'!$I:$I,$C11,'2023'!$Z:$Z,'Rank-สินค้าทั้งหมด '!BS$11)</f>
        <v/>
      </c>
      <c r="BT11" s="20">
        <f>SUMIFS('2023'!$U:$U,'2023'!$I:$I,$C11,'2023'!$Z:$Z,'Rank-สินค้าทั้งหมด '!BT$11)</f>
        <v/>
      </c>
      <c r="BU11" s="20">
        <f>SUMIFS('2023'!$U:$U,'2023'!$I:$I,$C11,'2023'!$Z:$Z,'Rank-สินค้าทั้งหมด '!BU$11)</f>
        <v/>
      </c>
      <c r="BV11" s="20">
        <f>SUMIFS('2023'!$U:$U,'2023'!$I:$I,$C11,'2023'!$Z:$Z,'Rank-สินค้าทั้งหมด '!BV$11)</f>
        <v/>
      </c>
      <c r="BW11" s="20">
        <f>SUMIFS('2023'!$U:$U,'2023'!$I:$I,$C11,'2023'!$Z:$Z,'Rank-สินค้าทั้งหมด '!BW$11)</f>
        <v/>
      </c>
      <c r="BX11" s="20">
        <f>SUMIFS('2023'!$U:$U,'2023'!$I:$I,$C11,'2023'!$Z:$Z,'Rank-สินค้าทั้งหมด '!BX$11)</f>
        <v/>
      </c>
      <c r="BY11" s="20">
        <f>SUMIFS('2024'!$U:$U,'2024'!$I:$I,$C11,'2024'!$Z:$Z,'Rank-สินค้าทั้งหมด '!BY$11)</f>
        <v/>
      </c>
      <c r="BZ11" s="20">
        <f>SUMIFS('2024'!$U:$U,'2024'!$I:$I,$C11,'2024'!$Z:$Z,'Rank-สินค้าทั้งหมด '!BZ$11)</f>
        <v/>
      </c>
      <c r="CA11" s="20">
        <f>SUMIFS('2024'!$U:$U,'2024'!$I:$I,$C11,'2024'!$Z:$Z,'Rank-สินค้าทั้งหมด '!CA$11)</f>
        <v/>
      </c>
      <c r="CB11" s="20">
        <f>SUMIFS('2024'!$U:$U,'2024'!$I:$I,$C11,'2024'!$Z:$Z,'Rank-สินค้าทั้งหมด '!CB$11)</f>
        <v/>
      </c>
      <c r="CC11" s="20">
        <f>SUMIFS('2024'!$U:$U,'2024'!$I:$I,$C11,'2024'!$Z:$Z,'Rank-สินค้าทั้งหมด '!CC$11)</f>
        <v/>
      </c>
      <c r="CD11" s="20">
        <f>SUMIFS('2024'!$U:$U,'2024'!$I:$I,$C11,'2024'!$Z:$Z,'Rank-สินค้าทั้งหมด '!CD$11)</f>
        <v/>
      </c>
      <c r="CE11" s="20">
        <f>SUMIFS('2024'!$U:$U,'2024'!$I:$I,$C11,'2024'!$Z:$Z,'Rank-สินค้าทั้งหมด '!CE$11)</f>
        <v/>
      </c>
      <c r="CF11" s="20">
        <f>SUMIFS('2024'!$U:$U,'2024'!$I:$I,$C11,'2024'!$Z:$Z,'Rank-สินค้าทั้งหมด '!CF$11)</f>
        <v/>
      </c>
      <c r="CG11" s="20">
        <f>SUMIFS('2024'!$U:$U,'2024'!$I:$I,$C11,'2024'!$Z:$Z,'Rank-สินค้าทั้งหมด '!CG$11)</f>
        <v/>
      </c>
      <c r="CH11" s="20">
        <f>SUMIFS('2024'!$U:$U,'2024'!$I:$I,$C11,'2024'!$Z:$Z,'Rank-สินค้าทั้งหมด '!CH$11)</f>
        <v/>
      </c>
      <c r="CI11" s="20">
        <f>SUMIFS('2024'!$U:$U,'2024'!$I:$I,$C11,'2024'!$Z:$Z,'Rank-สินค้าทั้งหมด '!CI$11)</f>
        <v/>
      </c>
      <c r="CJ11" s="20">
        <f>SUMIFS('2024'!$U:$U,'2024'!$I:$I,$C11,'2024'!$Z:$Z,'Rank-สินค้าทั้งหมด '!CJ$11)</f>
        <v/>
      </c>
      <c r="CK11" s="20">
        <f>SUMIFS('2025'!$U:$U,'2025'!$I:$I,$C11,'2025'!$Z:$Z,'Rank-สินค้าทั้งหมด '!CK$11)</f>
        <v/>
      </c>
      <c r="CL11" s="20">
        <f>SUMIFS('2025'!$U:$U,'2025'!$I:$I,$C11,'2025'!$Z:$Z,'Rank-สินค้าทั้งหมด '!CL$11)</f>
        <v/>
      </c>
      <c r="CM11" s="20">
        <f>SUMIFS('2025'!$U:$U,'2025'!$I:$I,$C11,'2025'!$Z:$Z,'Rank-สินค้าทั้งหมด '!CM$11)</f>
        <v/>
      </c>
      <c r="CN11" s="20">
        <f>SUMIFS('2025'!$U:$U,'2025'!$I:$I,$C11,'2025'!$Z:$Z,'Rank-สินค้าทั้งหมด '!CN$11)</f>
        <v/>
      </c>
      <c r="CO11" s="20">
        <f>SUMIFS('2025'!$U:$U,'2025'!$I:$I,$C11,'2025'!$Z:$Z,'Rank-สินค้าทั้งหมด '!CO$11)</f>
        <v/>
      </c>
      <c r="CP11" s="20">
        <f>SUMIFS('2025'!$U:$U,'2025'!$I:$I,$C11,'2025'!$Z:$Z,'Rank-สินค้าทั้งหมด '!CP$11)</f>
        <v/>
      </c>
      <c r="CQ11" s="20">
        <f>SUMIFS('2025'!$U:$U,'2025'!$I:$I,$C11,'2025'!$Z:$Z,'Rank-สินค้าทั้งหมด '!CQ$11)</f>
        <v/>
      </c>
      <c r="CR11" s="20">
        <f>SUMIFS('2025'!$U:$U,'2025'!$I:$I,$C11,'2025'!$Z:$Z,'Rank-สินค้าทั้งหมด '!CR$11)</f>
        <v/>
      </c>
      <c r="CS11" s="20">
        <f>SUMIFS('2025'!$U:$U,'2025'!$I:$I,$C11,'2025'!$Z:$Z,'Rank-สินค้าทั้งหมด '!CS$11)</f>
        <v/>
      </c>
      <c r="CT11" s="20">
        <f>SUMIFS('2025'!$U:$U,'2025'!$I:$I,$C11,'2025'!$Z:$Z,'Rank-สินค้าทั้งหมด '!CT$11)</f>
        <v/>
      </c>
      <c r="CU11" s="20">
        <f>SUMIFS('2025'!$U:$U,'2025'!$I:$I,$C11,'2025'!$Z:$Z,'Rank-สินค้าทั้งหมด '!CU$11)</f>
        <v/>
      </c>
      <c r="CV11" s="20">
        <f>SUMIFS('2025'!$U:$U,'2025'!$I:$I,$C11,'2025'!$Z:$Z,'Rank-สินค้าทั้งหมด '!CV$11)</f>
        <v/>
      </c>
      <c r="CW11" s="20">
        <f>SUMIFS('2026'!$U:$U,'2026'!$I:$I,$C11,'2026'!$Y:$Y,'Rank-สินค้าทั้งหมด '!CW$11)</f>
        <v/>
      </c>
      <c r="CX11" s="20">
        <f>SUMIFS('2026'!$U:$U,'2026'!$I:$I,$C11,'2026'!$Y:$Y,'Rank-สินค้าทั้งหมด '!CX$11)</f>
        <v/>
      </c>
      <c r="CY11" s="20">
        <f>SUMIFS('2026'!$U:$U,'2026'!$I:$I,$C11,'2026'!$Y:$Y,'Rank-สินค้าทั้งหมด '!CY$11)</f>
        <v/>
      </c>
      <c r="CZ11" s="20">
        <f>SUMIFS('2026'!$U:$U,'2026'!$I:$I,$C11,'2026'!$Y:$Y,'Rank-สินค้าทั้งหมด '!CZ$11)</f>
        <v/>
      </c>
      <c r="DA11" s="20">
        <f>SUMIFS('2026'!$U:$U,'2026'!$I:$I,$C11,'2026'!$Y:$Y,'Rank-สินค้าทั้งหมด '!DA$11)</f>
        <v/>
      </c>
      <c r="DB11" s="20">
        <f>SUMIFS('2026'!$U:$U,'2026'!$I:$I,$C11,'2026'!$Y:$Y,'Rank-สินค้าทั้งหมด '!DB$11)</f>
        <v/>
      </c>
      <c r="DC11" s="20">
        <f>SUMIFS('2026'!$U:$U,'2026'!$I:$I,$C11,'2026'!$Y:$Y,'Rank-สินค้าทั้งหมด '!DC$11)</f>
        <v/>
      </c>
      <c r="DD11" s="20">
        <f>SUMIFS('2026'!$U:$U,'2026'!$I:$I,$C11,'2026'!$Y:$Y,'Rank-สินค้าทั้งหมด '!DD$11)</f>
        <v/>
      </c>
      <c r="DE11" s="20">
        <f>SUM(BM11:BX11)</f>
        <v/>
      </c>
      <c r="DF11" s="20">
        <f>SUM(BY11:CJ11)</f>
        <v/>
      </c>
      <c r="DG11" s="20">
        <f>SUM(CK11:CV11)</f>
        <v/>
      </c>
      <c r="DH11" s="20">
        <f>SUM(CW11:DD11)</f>
        <v/>
      </c>
      <c r="DI11" s="20">
        <f>SUM(CY11:DD11)</f>
        <v/>
      </c>
      <c r="DJ11" t="inlineStr">
        <is>
          <t>New Product</t>
        </is>
      </c>
    </row>
  </sheetData>
  <autoFilter ref="A9:DK9"/>
  <mergeCells count="15">
    <mergeCell ref="AN8:AY8"/>
    <mergeCell ref="BM8:BX8"/>
    <mergeCell ref="BH8:BL8"/>
    <mergeCell ref="P1:R1"/>
    <mergeCell ref="AB8:AM8"/>
    <mergeCell ref="BY8:CJ8"/>
    <mergeCell ref="B1:D1"/>
    <mergeCell ref="P8:AA8"/>
    <mergeCell ref="AZ8:BG8"/>
    <mergeCell ref="CW8:DD8"/>
    <mergeCell ref="CK8:CV8"/>
    <mergeCell ref="I1:I2"/>
    <mergeCell ref="J1:J2"/>
    <mergeCell ref="H1:H2"/>
    <mergeCell ref="K1:M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DK13"/>
  <sheetViews>
    <sheetView tabSelected="1" zoomScaleNormal="100" workbookViewId="0">
      <selection activeCell="H23" sqref="H23"/>
    </sheetView>
  </sheetViews>
  <sheetFormatPr baseColWidth="8" defaultRowHeight="14.4"/>
  <cols>
    <col width="9.33203125" bestFit="1" customWidth="1" style="1" min="1" max="1"/>
    <col width="19.21875" customWidth="1" min="2" max="2"/>
    <col width="25.6640625" customWidth="1" min="3" max="3"/>
    <col width="39.109375" customWidth="1" min="4" max="4"/>
    <col width="14.33203125" customWidth="1" min="5" max="5"/>
    <col width="14.21875" customWidth="1" min="6" max="6"/>
    <col width="15.21875" customWidth="1" min="7" max="7"/>
    <col width="9.33203125" bestFit="1" customWidth="1" min="8" max="8"/>
    <col width="12.6640625" bestFit="1" customWidth="1" min="9" max="9"/>
    <col width="9.33203125" bestFit="1" customWidth="1" min="10" max="11"/>
    <col width="12.6640625" bestFit="1" customWidth="1" min="12" max="12"/>
    <col width="9.33203125" bestFit="1" customWidth="1" min="13" max="14"/>
    <col width="8.88671875" customWidth="1" style="1" min="15" max="15"/>
    <col width="9.33203125" bestFit="1" customWidth="1" min="16" max="18"/>
    <col width="10.5546875" customWidth="1" min="19" max="24"/>
    <col width="11.21875" bestFit="1" customWidth="1" min="25" max="25"/>
    <col width="9.33203125" bestFit="1" customWidth="1" min="26" max="51"/>
    <col width="11.33203125" bestFit="1" customWidth="1" min="52" max="52"/>
    <col width="9.33203125" bestFit="1" customWidth="1" min="53" max="53"/>
    <col width="9.33203125" customWidth="1" min="54" max="54"/>
    <col width="9.33203125" bestFit="1" customWidth="1" min="55" max="57"/>
    <col width="9.33203125" customWidth="1" min="58" max="58"/>
    <col width="9.33203125" bestFit="1" customWidth="1" min="59" max="95"/>
    <col width="11.33203125" bestFit="1" customWidth="1" min="96" max="96"/>
    <col width="10.6640625" bestFit="1" customWidth="1" min="97" max="99"/>
    <col width="10.6640625" customWidth="1" min="100" max="100"/>
    <col width="10.6640625" bestFit="1" customWidth="1" min="101" max="101"/>
    <col width="9.6640625" bestFit="1" customWidth="1" min="102" max="103"/>
    <col width="10.21875" customWidth="1" min="104" max="104"/>
    <col width="9.6640625" bestFit="1" customWidth="1" min="105" max="105"/>
    <col width="9.6640625" customWidth="1" min="106" max="106"/>
    <col width="9.6640625" bestFit="1" customWidth="1" min="107" max="107"/>
  </cols>
  <sheetData>
    <row r="1" ht="16.8" customHeight="1">
      <c r="B1" s="211" t="inlineStr">
        <is>
          <t>รวมทั้งบริษัท</t>
        </is>
      </c>
      <c r="C1" s="222" t="n"/>
      <c r="D1" s="223" t="n"/>
      <c r="E1" s="153" t="n"/>
      <c r="F1" s="153" t="n"/>
      <c r="G1" s="153" t="n"/>
      <c r="H1" s="211" t="inlineStr">
        <is>
          <t>Total</t>
        </is>
      </c>
      <c r="I1" s="211" t="inlineStr">
        <is>
          <t>Rank</t>
        </is>
      </c>
      <c r="J1" s="238" t="inlineStr">
        <is>
          <t>จน.Item</t>
        </is>
      </c>
      <c r="K1" s="93" t="inlineStr">
        <is>
          <t>จำนวนชิ้น</t>
        </is>
      </c>
      <c r="L1" s="222" t="n"/>
      <c r="M1" s="222" t="n"/>
      <c r="N1" s="222" t="n"/>
      <c r="O1" s="222" t="n"/>
      <c r="P1" s="223" t="n"/>
      <c r="Q1" s="89" t="inlineStr">
        <is>
          <t>AV 6M</t>
        </is>
      </c>
      <c r="R1" s="90" t="inlineStr">
        <is>
          <t>คิดเป็น %</t>
        </is>
      </c>
      <c r="S1" s="96" t="inlineStr">
        <is>
          <t>จำนวนบาท</t>
        </is>
      </c>
      <c r="T1" s="222" t="n"/>
      <c r="U1" s="222" t="n"/>
      <c r="V1" s="222" t="n"/>
      <c r="W1" s="222" t="n"/>
      <c r="X1" s="223" t="n"/>
      <c r="Y1" s="91" t="inlineStr">
        <is>
          <t xml:space="preserve">SUM 6M </t>
        </is>
      </c>
      <c r="Z1" s="92" t="inlineStr">
        <is>
          <t>คิดเป็น %</t>
        </is>
      </c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0" t="n"/>
    </row>
    <row r="2" ht="15" customHeight="1">
      <c r="B2" s="211" t="inlineStr">
        <is>
          <t>Total</t>
        </is>
      </c>
      <c r="C2" s="211" t="inlineStr">
        <is>
          <t>Rank</t>
        </is>
      </c>
      <c r="D2" s="211" t="inlineStr">
        <is>
          <t>จน.Item</t>
        </is>
      </c>
      <c r="E2" s="153" t="n"/>
      <c r="F2" s="153" t="n"/>
      <c r="G2" s="153" t="n"/>
      <c r="H2" s="224" t="n"/>
      <c r="I2" s="224" t="n"/>
      <c r="J2" s="224" t="n"/>
      <c r="K2" s="93" t="inlineStr">
        <is>
          <t>มี.ค.</t>
        </is>
      </c>
      <c r="L2" s="93" t="inlineStr">
        <is>
          <t>เม.ย.</t>
        </is>
      </c>
      <c r="M2" s="93" t="inlineStr">
        <is>
          <t>พ.ค.</t>
        </is>
      </c>
      <c r="N2" s="93" t="inlineStr">
        <is>
          <t>มิ.ย.</t>
        </is>
      </c>
      <c r="O2" s="93" t="inlineStr">
        <is>
          <t>ก.ค.</t>
        </is>
      </c>
      <c r="P2" s="93" t="inlineStr">
        <is>
          <t>ส.ค.</t>
        </is>
      </c>
      <c r="Q2" s="94" t="n"/>
      <c r="R2" s="95" t="n"/>
      <c r="S2" s="96" t="inlineStr">
        <is>
          <t>มี.ค.</t>
        </is>
      </c>
      <c r="T2" s="96" t="inlineStr">
        <is>
          <t>เม.ย.</t>
        </is>
      </c>
      <c r="U2" s="96" t="inlineStr">
        <is>
          <t>พ.ค.</t>
        </is>
      </c>
      <c r="V2" s="96" t="inlineStr">
        <is>
          <t>มิ.ย.</t>
        </is>
      </c>
      <c r="W2" s="96" t="inlineStr">
        <is>
          <t>ก.ค.</t>
        </is>
      </c>
      <c r="X2" s="96" t="inlineStr">
        <is>
          <t>ส.ค.</t>
        </is>
      </c>
      <c r="Y2" s="97" t="n"/>
      <c r="Z2" s="98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8" t="n"/>
      <c r="BB2" s="8" t="n"/>
      <c r="BC2" s="8" t="n"/>
      <c r="BD2" s="8" t="n"/>
      <c r="BE2" s="8" t="n"/>
      <c r="BF2" s="8" t="n"/>
      <c r="BG2" s="8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0" t="n"/>
    </row>
    <row r="3" ht="28.8" customHeight="1">
      <c r="B3" s="87" t="n">
        <v>1</v>
      </c>
      <c r="C3" s="83" t="inlineStr">
        <is>
          <t>เฉพาะรายการที่มียอดขายย้อนหลัง 6 เดือน</t>
        </is>
      </c>
      <c r="D3" s="225">
        <f>COUNTIF(BK12:BK2373,"&gt;=0.01")</f>
        <v/>
      </c>
      <c r="E3" s="153" t="n"/>
      <c r="F3" s="153" t="n"/>
      <c r="G3" s="153" t="n"/>
      <c r="H3" s="82" t="n">
        <v>1</v>
      </c>
      <c r="I3" s="99" t="n"/>
      <c r="J3" s="239">
        <f>D3</f>
        <v/>
      </c>
      <c r="K3" s="240">
        <f>SUM(K4:K7)</f>
        <v/>
      </c>
      <c r="L3" s="240">
        <f>SUM(L4:L7)</f>
        <v/>
      </c>
      <c r="M3" s="240">
        <f>SUM(M4:M7)</f>
        <v/>
      </c>
      <c r="N3" s="240">
        <f>SUM(N4:N7)</f>
        <v/>
      </c>
      <c r="O3" s="240">
        <f>SUM(O4:O7)</f>
        <v/>
      </c>
      <c r="P3" s="240">
        <f>SUM(P4:P7)</f>
        <v/>
      </c>
      <c r="Q3" s="241">
        <f>AVERAGE(K3:P3)</f>
        <v/>
      </c>
      <c r="R3" s="103" t="n">
        <v>1</v>
      </c>
      <c r="S3" s="104">
        <f>SUM(S4:S6)</f>
        <v/>
      </c>
      <c r="T3" s="104">
        <f>SUM(T4:T6)</f>
        <v/>
      </c>
      <c r="U3" s="104">
        <f>SUM(U4:U6)</f>
        <v/>
      </c>
      <c r="V3" s="104">
        <f>SUM(V4:V6)</f>
        <v/>
      </c>
      <c r="W3" s="104">
        <f>SUM(W4:W6)</f>
        <v/>
      </c>
      <c r="X3" s="104">
        <f>SUM(X4:X6)</f>
        <v/>
      </c>
      <c r="Y3" s="242">
        <f>SUM(S3:X3)</f>
        <v/>
      </c>
      <c r="Z3" s="106" t="n">
        <v>1</v>
      </c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4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0" t="n"/>
    </row>
    <row r="4">
      <c r="B4" s="88" t="n">
        <v>0.2</v>
      </c>
      <c r="C4" s="86" t="inlineStr">
        <is>
          <t>A</t>
        </is>
      </c>
      <c r="D4" s="183" t="n">
        <v>31</v>
      </c>
      <c r="E4" s="153" t="n"/>
      <c r="F4" s="141">
        <f>COUNTIF(BK12:BK2373,"&gt;=2.5")</f>
        <v/>
      </c>
      <c r="G4" s="153" t="n"/>
      <c r="H4" s="85" t="n">
        <v>0.1736</v>
      </c>
      <c r="I4" s="3" t="inlineStr">
        <is>
          <t>A</t>
        </is>
      </c>
      <c r="J4" s="244">
        <f>D4</f>
        <v/>
      </c>
      <c r="K4" s="244">
        <f>SUMIF($O$12:$O$2257,$I4,BB$12:BB$2257)</f>
        <v/>
      </c>
      <c r="L4" s="244">
        <f>SUMIF($O$12:$O$2257,$I4,BC$12:BC$2257)</f>
        <v/>
      </c>
      <c r="M4" s="244">
        <f>SUMIF($O$12:$O$2257,$I4,BD$12:BD$2257)</f>
        <v/>
      </c>
      <c r="N4" s="244">
        <f>SUMIF($O$12:$O$2257,$I4,BE$12:BE$2257)</f>
        <v/>
      </c>
      <c r="O4" s="244">
        <f>SUMIF($O$12:$O$2257,$I4,BF$12:BF$2257)</f>
        <v/>
      </c>
      <c r="P4" s="244">
        <f>SUMIF($O$12:$O$2257,$I4,BG$12:BG$2257)</f>
        <v/>
      </c>
      <c r="Q4" s="245">
        <f>AVERAGE(K4:P4)</f>
        <v/>
      </c>
      <c r="R4" s="108">
        <f>Q4/$Q$3*$R$3</f>
        <v/>
      </c>
      <c r="S4" s="109">
        <f>SUMIF($O$12:$O$2257,$I4,CY$12:CY$2257)</f>
        <v/>
      </c>
      <c r="T4" s="109">
        <f>SUMIF($O$12:$O$2257,$I4,CZ$12:CZ$2257)</f>
        <v/>
      </c>
      <c r="U4" s="109">
        <f>SUMIF($O$12:$O$2257,$I4,DA$12:DA$2257)</f>
        <v/>
      </c>
      <c r="V4" s="109">
        <f>SUMIF($O$12:$O$2257,$I4,DB$12:DB$2257)</f>
        <v/>
      </c>
      <c r="W4" s="109">
        <f>SUMIF($O$12:$O$2257,$I4,DC$12:DC$2257)</f>
        <v/>
      </c>
      <c r="X4" s="109">
        <f>SUMIF($O$12:$O$2257,$I4,DD$12:DD$2257)</f>
        <v/>
      </c>
      <c r="Y4" s="245">
        <f>SUM(S4:X4)</f>
        <v/>
      </c>
      <c r="Z4" s="108">
        <f>$Y4/$Y$3*$Z$3</f>
        <v/>
      </c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19" t="n"/>
      <c r="BB4" s="19" t="n"/>
      <c r="BC4" s="19" t="n"/>
      <c r="BD4" s="19" t="n"/>
      <c r="BE4" s="19" t="n"/>
      <c r="BF4" s="19" t="n"/>
      <c r="BG4" s="19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0" t="n"/>
    </row>
    <row r="5">
      <c r="B5" s="88" t="n">
        <v>0.3</v>
      </c>
      <c r="C5" s="86" t="inlineStr">
        <is>
          <t>B</t>
        </is>
      </c>
      <c r="D5" s="257" t="n">
        <v>64</v>
      </c>
      <c r="E5" s="153" t="n"/>
      <c r="F5" s="141">
        <f>COUNTIFS(BK12:BK2373,"&gt;=0.5",BK12:BK2373,"&lt;=2.49")</f>
        <v/>
      </c>
      <c r="G5" s="153" t="n"/>
      <c r="H5" s="85" t="n">
        <v>0.3395</v>
      </c>
      <c r="I5" s="3" t="inlineStr">
        <is>
          <t>B</t>
        </is>
      </c>
      <c r="J5" s="244">
        <f>D5</f>
        <v/>
      </c>
      <c r="K5" s="244">
        <f>SUMIF($O$12:$O$2257,$I5,BB$12:BB$2257)</f>
        <v/>
      </c>
      <c r="L5" s="244">
        <f>SUMIF($O$12:$O$2257,$I5,BC$12:BC$2257)</f>
        <v/>
      </c>
      <c r="M5" s="244">
        <f>SUMIF($O$12:$O$2257,$I5,BD$12:BD$2257)</f>
        <v/>
      </c>
      <c r="N5" s="244">
        <f>SUMIF($O$12:$O$2257,$I5,BE$12:BE$2257)</f>
        <v/>
      </c>
      <c r="O5" s="244">
        <f>SUMIF($O$12:$O$2257,$I5,BF$12:BF$2257)</f>
        <v/>
      </c>
      <c r="P5" s="244">
        <f>SUMIF($O$12:$O$2257,$I5,BG$12:BG$2257)</f>
        <v/>
      </c>
      <c r="Q5" s="245">
        <f>AVERAGE(K5:P5)</f>
        <v/>
      </c>
      <c r="R5" s="108">
        <f>Q5/$Q$3*$R$3</f>
        <v/>
      </c>
      <c r="S5" s="109">
        <f>SUMIF($O$12:$O$2257,$I5,CY$12:CY$2257)</f>
        <v/>
      </c>
      <c r="T5" s="109">
        <f>SUMIF($O$12:$O$2257,$I5,CZ$12:CZ$2257)</f>
        <v/>
      </c>
      <c r="U5" s="109">
        <f>SUMIF($O$12:$O$2257,$I5,DA$12:DA$2257)</f>
        <v/>
      </c>
      <c r="V5" s="109">
        <f>SUMIF($O$12:$O$2257,$I5,DB$12:DB$2257)</f>
        <v/>
      </c>
      <c r="W5" s="109">
        <f>SUMIF($O$12:$O$2257,$I5,DC$12:DC$2257)</f>
        <v/>
      </c>
      <c r="X5" s="109">
        <f>SUMIF($O$12:$O$2257,$I5,DD$12:DD$2257)</f>
        <v/>
      </c>
      <c r="Y5" s="245">
        <f>SUM(S5:X5)</f>
        <v/>
      </c>
      <c r="Z5" s="108">
        <f>$Y5/$Y$3*$Z$3</f>
        <v/>
      </c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19" t="n"/>
      <c r="BB5" s="19" t="n"/>
      <c r="BC5" s="19" t="n"/>
      <c r="BD5" s="19" t="n"/>
      <c r="BE5" s="19" t="n"/>
      <c r="BF5" s="19" t="n"/>
      <c r="BG5" s="19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0" t="n"/>
    </row>
    <row r="6">
      <c r="B6" s="88" t="n">
        <v>0.5</v>
      </c>
      <c r="C6" s="86" t="inlineStr">
        <is>
          <t>C</t>
        </is>
      </c>
      <c r="D6" s="257" t="n">
        <v>90</v>
      </c>
      <c r="E6" s="153" t="n"/>
      <c r="F6" s="141">
        <f>COUNTIFS(BK12:BK2373,"&gt;=0.1",BK12:BK2373,"&lt;=0.49")</f>
        <v/>
      </c>
      <c r="G6" s="153" t="n"/>
      <c r="H6" s="110" t="n">
        <v>0.4869</v>
      </c>
      <c r="I6" s="111" t="inlineStr">
        <is>
          <t>C</t>
        </is>
      </c>
      <c r="J6" s="244">
        <f>D6</f>
        <v/>
      </c>
      <c r="K6" s="244">
        <f>SUMIF($O$12:$O$2257,$I6,BB$12:BB$2257)</f>
        <v/>
      </c>
      <c r="L6" s="244">
        <f>SUMIF($O$12:$O$2257,$I6,BC$12:BC$2257)</f>
        <v/>
      </c>
      <c r="M6" s="244">
        <f>SUMIF($O$12:$O$2257,$I6,BD$12:BD$2257)</f>
        <v/>
      </c>
      <c r="N6" s="244">
        <f>SUMIF($O$12:$O$2257,$I6,BE$12:BE$2257)</f>
        <v/>
      </c>
      <c r="O6" s="244">
        <f>SUMIF($O$12:$O$2257,$I6,BF$12:BF$2257)</f>
        <v/>
      </c>
      <c r="P6" s="244">
        <f>SUMIF($O$12:$O$2257,$I6,BG$12:BG$2257)</f>
        <v/>
      </c>
      <c r="Q6" s="245">
        <f>AVERAGE(K6:P6)</f>
        <v/>
      </c>
      <c r="R6" s="108">
        <f>Q6/$Q$3*$R$3</f>
        <v/>
      </c>
      <c r="S6" s="109">
        <f>SUMIF($O$12:$O$2257,$I6,CY$12:CY$2257)</f>
        <v/>
      </c>
      <c r="T6" s="109">
        <f>SUMIF($O$12:$O$2257,$I6,CZ$12:CZ$2257)</f>
        <v/>
      </c>
      <c r="U6" s="109">
        <f>SUMIF($O$12:$O$2257,$I6,DA$12:DA$2257)</f>
        <v/>
      </c>
      <c r="V6" s="109">
        <f>SUMIF($O$12:$O$2257,$I6,DB$12:DB$2257)</f>
        <v/>
      </c>
      <c r="W6" s="109">
        <f>SUMIF($O$12:$O$2257,$I6,DC$12:DC$2257)</f>
        <v/>
      </c>
      <c r="X6" s="109">
        <f>SUMIF($O$12:$O$2257,$I6,DD$12:DD$2257)</f>
        <v/>
      </c>
      <c r="Y6" s="245">
        <f>SUM(S6:X6)</f>
        <v/>
      </c>
      <c r="Z6" s="108">
        <f>$Y6/$Y$3*$Z$3</f>
        <v/>
      </c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19" t="n"/>
      <c r="BB6" s="19" t="n"/>
      <c r="BC6" s="19" t="n"/>
      <c r="BD6" s="19" t="n"/>
      <c r="BE6" s="19" t="n"/>
      <c r="BF6" s="19" t="n"/>
      <c r="BG6" s="19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0" t="n"/>
    </row>
    <row r="7">
      <c r="B7" s="246" t="inlineStr">
        <is>
          <t>รายการไม่มียอดขาย ย้อนหลัง 6 เดือน</t>
        </is>
      </c>
      <c r="C7" s="247" t="n"/>
      <c r="D7" s="259">
        <f>D8-D3</f>
        <v/>
      </c>
      <c r="E7" s="153" t="n"/>
      <c r="F7" s="260">
        <f>COUNTIF(BK12:BK2373,"&lt;=0")</f>
        <v/>
      </c>
      <c r="G7" s="153" t="n"/>
      <c r="H7" s="2" t="n"/>
      <c r="I7" s="3" t="n"/>
      <c r="J7" s="244" t="n"/>
      <c r="K7" s="244">
        <f>SUMIF($O$12:$O$2257,$I7,BB$12:BB$2257)</f>
        <v/>
      </c>
      <c r="L7" s="244">
        <f>SUMIF($O$12:$O$2257,$I7,BC$12:BC$2257)</f>
        <v/>
      </c>
      <c r="M7" s="244">
        <f>SUMIF($O$12:$O$2257,$I7,BD$12:BD$2257)</f>
        <v/>
      </c>
      <c r="N7" s="244">
        <f>SUMIF($O$12:$O$2257,$I7,BE$12:BE$2257)</f>
        <v/>
      </c>
      <c r="O7" s="244">
        <f>SUMIF($O$12:$O$2257,$I7,BF$12:BF$2257)</f>
        <v/>
      </c>
      <c r="P7" s="244">
        <f>SUMIF($O$12:$O$2257,$I7,BG$12:BG$2257)</f>
        <v/>
      </c>
      <c r="Q7" s="245">
        <f>AVERAGE(K7:P7)</f>
        <v/>
      </c>
      <c r="R7" s="27" t="n"/>
      <c r="S7" s="26" t="n"/>
      <c r="T7" s="26" t="n"/>
      <c r="U7" s="26" t="n"/>
      <c r="V7" s="26" t="n"/>
      <c r="W7" s="26" t="n"/>
      <c r="X7" s="26" t="n"/>
      <c r="Y7" s="244" t="n"/>
      <c r="Z7" s="27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19" t="n"/>
      <c r="BB7" s="19" t="n"/>
      <c r="BC7" s="19" t="n"/>
      <c r="BD7" s="19" t="n"/>
      <c r="BE7" s="19" t="n"/>
      <c r="BF7" s="19" t="n"/>
      <c r="BG7" s="19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0" t="n"/>
    </row>
    <row r="8">
      <c r="B8" s="249" t="inlineStr">
        <is>
          <t>จำนวนไอเทมสินค้าทั้งหมด</t>
        </is>
      </c>
      <c r="C8" s="223" t="n"/>
      <c r="D8" s="261">
        <f>COUNT(A12:A1048576)</f>
        <v/>
      </c>
      <c r="E8" s="153" t="n"/>
      <c r="F8" s="153" t="n"/>
      <c r="G8" s="153" t="n"/>
      <c r="K8" s="1" t="n"/>
      <c r="M8" s="1" t="n"/>
      <c r="N8" s="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0" t="n"/>
    </row>
    <row r="9">
      <c r="C9" s="1" t="n"/>
      <c r="E9" s="112" t="n"/>
      <c r="G9" s="1" t="n"/>
      <c r="I9" s="1" t="n"/>
      <c r="K9" s="1" t="n"/>
      <c r="M9" s="1" t="n"/>
      <c r="Q9" s="1" t="n"/>
      <c r="S9" s="1" t="n"/>
      <c r="U9" s="1" t="n"/>
      <c r="W9" s="1" t="n"/>
      <c r="Y9" s="1" t="n"/>
      <c r="AA9" s="1" t="n"/>
      <c r="AC9" s="1" t="n"/>
      <c r="AE9" s="1" t="n"/>
      <c r="AG9" s="1" t="n"/>
      <c r="AI9" s="1" t="n"/>
      <c r="AK9" s="1" t="n"/>
      <c r="AM9" s="1" t="n"/>
      <c r="AO9" s="1" t="n"/>
      <c r="AQ9" s="1" t="n"/>
      <c r="AS9" s="1" t="n"/>
      <c r="AU9" s="1" t="n"/>
      <c r="AW9" s="1" t="n"/>
      <c r="AY9" s="1" t="n"/>
      <c r="BC9" s="1" t="n"/>
      <c r="BE9" s="1" t="n"/>
      <c r="BF9" s="1" t="n"/>
      <c r="BH9" s="1" t="n"/>
      <c r="BJ9" s="1" t="n"/>
      <c r="BL9" s="1" t="n"/>
      <c r="BN9" s="1" t="n"/>
      <c r="BP9" s="1" t="n"/>
      <c r="BR9" s="1" t="n"/>
      <c r="BT9" s="1" t="n"/>
      <c r="BV9" s="1" t="n"/>
      <c r="BX9" s="1" t="n"/>
      <c r="BZ9" s="1" t="n"/>
      <c r="CB9" s="1" t="n"/>
      <c r="CD9" s="1" t="n"/>
      <c r="CF9" s="1" t="n"/>
      <c r="CH9" s="1" t="n"/>
      <c r="CJ9" s="1" t="n"/>
      <c r="CL9" s="1" t="n"/>
      <c r="CN9" s="1" t="n"/>
      <c r="CP9" s="1" t="n"/>
      <c r="CR9" s="1" t="n"/>
      <c r="CT9" s="1" t="n"/>
      <c r="CW9" s="1" t="n"/>
      <c r="CY9" s="1" t="n"/>
    </row>
    <row r="10" ht="24.6" customFormat="1" customHeight="1" s="11">
      <c r="A10" s="210" t="inlineStr">
        <is>
          <t>ลำดับ</t>
        </is>
      </c>
      <c r="B10" s="10" t="inlineStr">
        <is>
          <t>Category</t>
        </is>
      </c>
      <c r="C10" s="12" t="inlineStr">
        <is>
          <t>Product Code</t>
        </is>
      </c>
      <c r="D10" s="210" t="inlineStr">
        <is>
          <t>Description</t>
        </is>
      </c>
      <c r="E10" s="210" t="inlineStr">
        <is>
          <t>ยี่ห้อ</t>
        </is>
      </c>
      <c r="F10" s="210" t="inlineStr">
        <is>
          <t>รุ่น</t>
        </is>
      </c>
      <c r="G10" s="10" t="inlineStr">
        <is>
          <t>ประเภทสินค้า</t>
        </is>
      </c>
      <c r="H10" s="13" t="inlineStr">
        <is>
          <t>List Price</t>
        </is>
      </c>
      <c r="I10" s="18" t="inlineStr">
        <is>
          <t>Member</t>
        </is>
      </c>
      <c r="J10" s="17" t="inlineStr">
        <is>
          <t>Wholesale General</t>
        </is>
      </c>
      <c r="K10" s="10" t="inlineStr">
        <is>
          <t>สต๊อกคงเหลือ</t>
        </is>
      </c>
      <c r="L10" s="251" t="inlineStr">
        <is>
          <t>มูลค่าสินค้า</t>
        </is>
      </c>
      <c r="M10" s="18" t="inlineStr">
        <is>
          <t>Vender</t>
        </is>
      </c>
      <c r="N10" s="17" t="inlineStr">
        <is>
          <t>สินค้าโครงการ Rank C / D</t>
        </is>
      </c>
      <c r="O10" s="17" t="inlineStr">
        <is>
          <t>Rank สินค้าปัจุบัน</t>
        </is>
      </c>
      <c r="P10" s="189" t="inlineStr">
        <is>
          <t>ขาย (ชิ้น/เดือน) 2023</t>
        </is>
      </c>
      <c r="Q10" s="222" t="n"/>
      <c r="R10" s="222" t="n"/>
      <c r="S10" s="222" t="n"/>
      <c r="T10" s="222" t="n"/>
      <c r="U10" s="222" t="n"/>
      <c r="V10" s="222" t="n"/>
      <c r="W10" s="222" t="n"/>
      <c r="X10" s="222" t="n"/>
      <c r="Y10" s="222" t="n"/>
      <c r="Z10" s="222" t="n"/>
      <c r="AA10" s="222" t="n"/>
      <c r="AB10" s="189" t="inlineStr">
        <is>
          <t>ขาย (ชิ้น/เดือน) 2024</t>
        </is>
      </c>
      <c r="AC10" s="222" t="n"/>
      <c r="AD10" s="222" t="n"/>
      <c r="AE10" s="222" t="n"/>
      <c r="AF10" s="222" t="n"/>
      <c r="AG10" s="222" t="n"/>
      <c r="AH10" s="222" t="n"/>
      <c r="AI10" s="222" t="n"/>
      <c r="AJ10" s="222" t="n"/>
      <c r="AK10" s="222" t="n"/>
      <c r="AL10" s="222" t="n"/>
      <c r="AM10" s="222" t="n"/>
      <c r="AN10" s="10" t="inlineStr">
        <is>
          <t>ขาย (ชิ้น/เดือน) 2025</t>
        </is>
      </c>
      <c r="AO10" s="222" t="n"/>
      <c r="AP10" s="222" t="n"/>
      <c r="AQ10" s="222" t="n"/>
      <c r="AR10" s="222" t="n"/>
      <c r="AS10" s="222" t="n"/>
      <c r="AT10" s="222" t="n"/>
      <c r="AU10" s="222" t="n"/>
      <c r="AV10" s="222" t="n"/>
      <c r="AW10" s="222" t="n"/>
      <c r="AX10" s="222" t="n"/>
      <c r="AY10" s="223" t="n"/>
      <c r="AZ10" s="189" t="inlineStr">
        <is>
          <t>ขาย (ชิ้น/เดือน) 2026</t>
        </is>
      </c>
      <c r="BA10" s="222" t="n"/>
      <c r="BB10" s="222" t="n"/>
      <c r="BC10" s="222" t="n"/>
      <c r="BD10" s="222" t="n"/>
      <c r="BE10" s="222" t="n"/>
      <c r="BF10" s="222" t="n"/>
      <c r="BG10" s="222" t="n"/>
      <c r="BH10" s="208" t="n"/>
      <c r="BI10" s="222" t="n"/>
      <c r="BJ10" s="222" t="n"/>
      <c r="BK10" s="222" t="n"/>
      <c r="BL10" s="223" t="n"/>
      <c r="BM10" s="252" t="inlineStr">
        <is>
          <t>ขาย (บาท/เดือน) 2023</t>
        </is>
      </c>
      <c r="BN10" s="222" t="n"/>
      <c r="BO10" s="222" t="n"/>
      <c r="BP10" s="222" t="n"/>
      <c r="BQ10" s="222" t="n"/>
      <c r="BR10" s="222" t="n"/>
      <c r="BS10" s="222" t="n"/>
      <c r="BT10" s="222" t="n"/>
      <c r="BU10" s="222" t="n"/>
      <c r="BV10" s="222" t="n"/>
      <c r="BW10" s="222" t="n"/>
      <c r="BX10" s="223" t="n"/>
      <c r="BY10" s="206" t="inlineStr">
        <is>
          <t>ขาย (บาท/เดือน) 2024</t>
        </is>
      </c>
      <c r="BZ10" s="222" t="n"/>
      <c r="CA10" s="222" t="n"/>
      <c r="CB10" s="222" t="n"/>
      <c r="CC10" s="222" t="n"/>
      <c r="CD10" s="222" t="n"/>
      <c r="CE10" s="222" t="n"/>
      <c r="CF10" s="222" t="n"/>
      <c r="CG10" s="222" t="n"/>
      <c r="CH10" s="222" t="n"/>
      <c r="CI10" s="222" t="n"/>
      <c r="CJ10" s="222" t="n"/>
      <c r="CK10" s="252" t="inlineStr">
        <is>
          <t>ขาย (บาท/เดือน) 2025</t>
        </is>
      </c>
      <c r="CL10" s="222" t="n"/>
      <c r="CM10" s="222" t="n"/>
      <c r="CN10" s="222" t="n"/>
      <c r="CO10" s="222" t="n"/>
      <c r="CP10" s="222" t="n"/>
      <c r="CQ10" s="222" t="n"/>
      <c r="CR10" s="222" t="n"/>
      <c r="CS10" s="222" t="n"/>
      <c r="CT10" s="222" t="n"/>
      <c r="CU10" s="222" t="n"/>
      <c r="CV10" s="223" t="n"/>
      <c r="CW10" s="205" t="inlineStr">
        <is>
          <t>ขาย (บาท/เดือน) 2026</t>
        </is>
      </c>
      <c r="CX10" s="222" t="n"/>
      <c r="CY10" s="222" t="n"/>
      <c r="CZ10" s="222" t="n"/>
      <c r="DA10" s="222" t="n"/>
      <c r="DB10" s="222" t="n"/>
      <c r="DC10" s="222" t="n"/>
      <c r="DD10" s="222" t="n"/>
      <c r="DE10" s="149" t="n"/>
      <c r="DF10" s="149" t="n"/>
      <c r="DG10" s="149" t="n"/>
      <c r="DH10" s="149" t="n"/>
      <c r="DI10" s="150" t="n"/>
      <c r="DJ10" s="10" t="inlineStr">
        <is>
          <t>New Product</t>
        </is>
      </c>
      <c r="DK10" s="144" t="inlineStr">
        <is>
          <t>บาร์ BOM TYPE</t>
        </is>
      </c>
    </row>
    <row r="11" ht="24.6" customFormat="1" customHeight="1" s="8">
      <c r="A11" s="6" t="n"/>
      <c r="B11" s="7" t="n"/>
      <c r="C11" s="6" t="n"/>
      <c r="D11" s="15" t="n"/>
      <c r="E11" s="7" t="n"/>
      <c r="F11" s="7" t="n"/>
      <c r="G11" s="7" t="n"/>
      <c r="H11" s="7" t="n"/>
      <c r="I11" s="7" t="n"/>
      <c r="J11" s="7" t="n"/>
      <c r="K11" s="6" t="n"/>
      <c r="L11" s="253" t="inlineStr">
        <is>
          <t>จำนวนคงเหลือxราคาส่ง</t>
        </is>
      </c>
      <c r="M11" s="145" t="n"/>
      <c r="N11" s="6" t="n"/>
      <c r="O11" s="6" t="n"/>
      <c r="P11" s="254" t="inlineStr">
        <is>
          <t>ม.ค.</t>
        </is>
      </c>
      <c r="Q11" s="254" t="inlineStr">
        <is>
          <t>ก.พ.</t>
        </is>
      </c>
      <c r="R11" s="254" t="inlineStr">
        <is>
          <t>มี.ค.</t>
        </is>
      </c>
      <c r="S11" s="254" t="inlineStr">
        <is>
          <t>เม.ย.</t>
        </is>
      </c>
      <c r="T11" s="254" t="inlineStr">
        <is>
          <t>พ.ค.</t>
        </is>
      </c>
      <c r="U11" s="254" t="inlineStr">
        <is>
          <t>มิ.ย.</t>
        </is>
      </c>
      <c r="V11" s="254" t="inlineStr">
        <is>
          <t>ก.ค.</t>
        </is>
      </c>
      <c r="W11" s="254" t="inlineStr">
        <is>
          <t>ส.ค.</t>
        </is>
      </c>
      <c r="X11" s="254" t="inlineStr">
        <is>
          <t>ก.ย.</t>
        </is>
      </c>
      <c r="Y11" s="254" t="inlineStr">
        <is>
          <t>ต.ค.</t>
        </is>
      </c>
      <c r="Z11" s="254" t="inlineStr">
        <is>
          <t>พ.ย.</t>
        </is>
      </c>
      <c r="AA11" s="254" t="inlineStr">
        <is>
          <t>ธ.ค.</t>
        </is>
      </c>
      <c r="AB11" s="7" t="inlineStr">
        <is>
          <t>ม.ค.</t>
        </is>
      </c>
      <c r="AC11" s="7" t="inlineStr">
        <is>
          <t>ก.พ.</t>
        </is>
      </c>
      <c r="AD11" s="7" t="inlineStr">
        <is>
          <t>มี.ค.</t>
        </is>
      </c>
      <c r="AE11" s="7" t="inlineStr">
        <is>
          <t>เม.ย.</t>
        </is>
      </c>
      <c r="AF11" s="7" t="inlineStr">
        <is>
          <t>พ.ค.</t>
        </is>
      </c>
      <c r="AG11" s="7" t="inlineStr">
        <is>
          <t>มิ.ย.</t>
        </is>
      </c>
      <c r="AH11" s="7" t="inlineStr">
        <is>
          <t>ก.ค.</t>
        </is>
      </c>
      <c r="AI11" s="7" t="inlineStr">
        <is>
          <t>ส.ค.</t>
        </is>
      </c>
      <c r="AJ11" s="7" t="inlineStr">
        <is>
          <t>ก.ย.</t>
        </is>
      </c>
      <c r="AK11" s="7" t="inlineStr">
        <is>
          <t>ต.ค.</t>
        </is>
      </c>
      <c r="AL11" s="7" t="inlineStr">
        <is>
          <t>พ.ย.</t>
        </is>
      </c>
      <c r="AM11" s="7" t="inlineStr">
        <is>
          <t>ธ.ค.</t>
        </is>
      </c>
      <c r="AN11" s="7" t="inlineStr">
        <is>
          <t>ม.ค.</t>
        </is>
      </c>
      <c r="AO11" s="7" t="inlineStr">
        <is>
          <t>ก.พ.</t>
        </is>
      </c>
      <c r="AP11" s="7" t="inlineStr">
        <is>
          <t>มี.ค.</t>
        </is>
      </c>
      <c r="AQ11" s="7" t="inlineStr">
        <is>
          <t>เม.ย.</t>
        </is>
      </c>
      <c r="AR11" s="7" t="inlineStr">
        <is>
          <t>พ.ค.</t>
        </is>
      </c>
      <c r="AS11" s="7" t="inlineStr">
        <is>
          <t>มิ.ย.</t>
        </is>
      </c>
      <c r="AT11" s="7" t="inlineStr">
        <is>
          <t>ก.ค.</t>
        </is>
      </c>
      <c r="AU11" s="7" t="inlineStr">
        <is>
          <t>ส.ค.</t>
        </is>
      </c>
      <c r="AV11" s="7" t="inlineStr">
        <is>
          <t>ก.ย.</t>
        </is>
      </c>
      <c r="AW11" s="7" t="inlineStr">
        <is>
          <t>ต.ค.</t>
        </is>
      </c>
      <c r="AX11" s="7" t="inlineStr">
        <is>
          <t>พ.ย.</t>
        </is>
      </c>
      <c r="AY11" s="7" t="inlineStr">
        <is>
          <t>ธ.ค.</t>
        </is>
      </c>
      <c r="AZ11" s="7" t="inlineStr">
        <is>
          <t>ม.ค.</t>
        </is>
      </c>
      <c r="BA11" s="7" t="inlineStr">
        <is>
          <t>ก.พ.</t>
        </is>
      </c>
      <c r="BB11" s="7" t="inlineStr">
        <is>
          <t>มี.ค.</t>
        </is>
      </c>
      <c r="BC11" s="7" t="inlineStr">
        <is>
          <t>เม.ย.</t>
        </is>
      </c>
      <c r="BD11" s="7" t="inlineStr">
        <is>
          <t>พ.ค.</t>
        </is>
      </c>
      <c r="BE11" s="7" t="inlineStr">
        <is>
          <t>มิ.ย.</t>
        </is>
      </c>
      <c r="BF11" s="7" t="inlineStr">
        <is>
          <t>ก.ค.</t>
        </is>
      </c>
      <c r="BG11" s="7" t="inlineStr">
        <is>
          <t>ส.ค.</t>
        </is>
      </c>
      <c r="BH11" s="152" t="inlineStr">
        <is>
          <t>AV Y2023</t>
        </is>
      </c>
      <c r="BI11" s="152" t="inlineStr">
        <is>
          <t>AV Y2024</t>
        </is>
      </c>
      <c r="BJ11" s="152" t="inlineStr">
        <is>
          <t>AV Y2025</t>
        </is>
      </c>
      <c r="BK11" s="152" t="inlineStr">
        <is>
          <t>AV Y2026</t>
        </is>
      </c>
      <c r="BL11" s="152" t="inlineStr">
        <is>
          <t>AV 6M</t>
        </is>
      </c>
      <c r="BM11" s="6" t="inlineStr">
        <is>
          <t>ม.ค.</t>
        </is>
      </c>
      <c r="BN11" s="6" t="inlineStr">
        <is>
          <t>ก.พ.</t>
        </is>
      </c>
      <c r="BO11" s="6" t="inlineStr">
        <is>
          <t>มี.ค.</t>
        </is>
      </c>
      <c r="BP11" s="6" t="inlineStr">
        <is>
          <t>เม.ย.</t>
        </is>
      </c>
      <c r="BQ11" s="6" t="inlineStr">
        <is>
          <t>พ.ค.</t>
        </is>
      </c>
      <c r="BR11" s="6" t="inlineStr">
        <is>
          <t>มิ.ย.</t>
        </is>
      </c>
      <c r="BS11" s="6" t="inlineStr">
        <is>
          <t>ก.ค.</t>
        </is>
      </c>
      <c r="BT11" s="6" t="inlineStr">
        <is>
          <t>ส.ค.</t>
        </is>
      </c>
      <c r="BU11" s="6" t="inlineStr">
        <is>
          <t>ก.ย.</t>
        </is>
      </c>
      <c r="BV11" s="6" t="inlineStr">
        <is>
          <t>ต.ค.</t>
        </is>
      </c>
      <c r="BW11" s="6" t="inlineStr">
        <is>
          <t>พ.ย.</t>
        </is>
      </c>
      <c r="BX11" s="6" t="inlineStr">
        <is>
          <t>ธ.ค.</t>
        </is>
      </c>
      <c r="BY11" s="6" t="inlineStr">
        <is>
          <t>ม.ค.</t>
        </is>
      </c>
      <c r="BZ11" s="6" t="inlineStr">
        <is>
          <t>ก.พ.</t>
        </is>
      </c>
      <c r="CA11" s="6" t="inlineStr">
        <is>
          <t>มี.ค.</t>
        </is>
      </c>
      <c r="CB11" s="6" t="inlineStr">
        <is>
          <t>เม.ย.</t>
        </is>
      </c>
      <c r="CC11" s="6" t="inlineStr">
        <is>
          <t>พ.ค.</t>
        </is>
      </c>
      <c r="CD11" s="6" t="inlineStr">
        <is>
          <t>มิ.ย.</t>
        </is>
      </c>
      <c r="CE11" s="6" t="inlineStr">
        <is>
          <t>ก.ค.</t>
        </is>
      </c>
      <c r="CF11" s="6" t="inlineStr">
        <is>
          <t>ส.ค.</t>
        </is>
      </c>
      <c r="CG11" s="6" t="inlineStr">
        <is>
          <t>ก.ย.</t>
        </is>
      </c>
      <c r="CH11" s="6" t="inlineStr">
        <is>
          <t>ต.ค.</t>
        </is>
      </c>
      <c r="CI11" s="6" t="inlineStr">
        <is>
          <t>พ.ย.</t>
        </is>
      </c>
      <c r="CJ11" s="6" t="inlineStr">
        <is>
          <t>ธ.ค.</t>
        </is>
      </c>
      <c r="CK11" s="6" t="inlineStr">
        <is>
          <t>ม.ค.</t>
        </is>
      </c>
      <c r="CL11" s="6" t="inlineStr">
        <is>
          <t>ก.พ.</t>
        </is>
      </c>
      <c r="CM11" s="6" t="inlineStr">
        <is>
          <t>มี.ค.</t>
        </is>
      </c>
      <c r="CN11" s="6" t="inlineStr">
        <is>
          <t>เม.ย.</t>
        </is>
      </c>
      <c r="CO11" s="6" t="inlineStr">
        <is>
          <t>พ.ค.</t>
        </is>
      </c>
      <c r="CP11" s="6" t="inlineStr">
        <is>
          <t>มิ.ย.</t>
        </is>
      </c>
      <c r="CQ11" s="6" t="inlineStr">
        <is>
          <t>ก.ค.</t>
        </is>
      </c>
      <c r="CR11" s="6" t="inlineStr">
        <is>
          <t>ส.ค.</t>
        </is>
      </c>
      <c r="CS11" s="6" t="inlineStr">
        <is>
          <t>ก.ย.</t>
        </is>
      </c>
      <c r="CT11" s="6" t="inlineStr">
        <is>
          <t>ต.ค.</t>
        </is>
      </c>
      <c r="CU11" s="6" t="inlineStr">
        <is>
          <t>พ.ย.</t>
        </is>
      </c>
      <c r="CV11" s="6" t="inlineStr">
        <is>
          <t>ธ.ค.</t>
        </is>
      </c>
      <c r="CW11" s="6" t="inlineStr">
        <is>
          <t>ม.ค.</t>
        </is>
      </c>
      <c r="CX11" s="6" t="inlineStr">
        <is>
          <t>ก.พ.</t>
        </is>
      </c>
      <c r="CY11" s="6" t="inlineStr">
        <is>
          <t>มี.ค.</t>
        </is>
      </c>
      <c r="CZ11" s="6" t="inlineStr">
        <is>
          <t>เม.ย.</t>
        </is>
      </c>
      <c r="DA11" s="6" t="inlineStr">
        <is>
          <t>พ.ค.</t>
        </is>
      </c>
      <c r="DB11" s="6" t="inlineStr">
        <is>
          <t>มิ.ย.</t>
        </is>
      </c>
      <c r="DC11" s="6" t="inlineStr">
        <is>
          <t>ก.ค.</t>
        </is>
      </c>
      <c r="DD11" s="6" t="inlineStr">
        <is>
          <t>ส.ค.</t>
        </is>
      </c>
      <c r="DE11" s="151" t="inlineStr">
        <is>
          <t>SUM Y2023</t>
        </is>
      </c>
      <c r="DF11" s="151" t="inlineStr">
        <is>
          <t>SUM Y2024</t>
        </is>
      </c>
      <c r="DG11" s="151" t="inlineStr">
        <is>
          <t>SUM Y2025</t>
        </is>
      </c>
      <c r="DH11" s="151" t="inlineStr">
        <is>
          <t>SUM Y2026</t>
        </is>
      </c>
      <c r="DI11" s="151" t="inlineStr">
        <is>
          <t>SUM 6M</t>
        </is>
      </c>
      <c r="DJ11" s="6" t="inlineStr">
        <is>
          <t>3M</t>
        </is>
      </c>
      <c r="DK11" s="15" t="n"/>
    </row>
    <row r="12">
      <c r="A12" s="1" t="n">
        <v>1</v>
      </c>
      <c r="B12" t="inlineStr">
        <is>
          <t>เงินมัดจำ</t>
        </is>
      </c>
      <c r="C12" t="inlineStr">
        <is>
          <t>Deposit</t>
        </is>
      </c>
      <c r="D12" t="inlineStr">
        <is>
          <t>เงินมัดจำ</t>
        </is>
      </c>
      <c r="E12" t="inlineStr">
        <is>
          <t>เงินมัดจำ</t>
        </is>
      </c>
      <c r="F12" t="inlineStr">
        <is>
          <t>เงินมัดจำ</t>
        </is>
      </c>
      <c r="G12" t="inlineStr">
        <is>
          <t>เงินมัดจำ</t>
        </is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/>
      <c r="N12" s="20" t="n"/>
      <c r="O12" s="171" t="n"/>
      <c r="P12" s="20" t="n">
        <v>1211</v>
      </c>
      <c r="Q12" s="20" t="n">
        <v>1232</v>
      </c>
      <c r="R12" s="20" t="n">
        <v>1367</v>
      </c>
      <c r="S12" s="20" t="n">
        <v>986</v>
      </c>
      <c r="T12" s="20" t="n">
        <v>1248</v>
      </c>
      <c r="U12" s="20" t="n">
        <v>1278</v>
      </c>
      <c r="V12" s="20" t="n">
        <v>1298</v>
      </c>
      <c r="W12" s="20" t="n">
        <v>1472</v>
      </c>
      <c r="X12" s="20" t="n">
        <v>1419</v>
      </c>
      <c r="Y12" s="20" t="n">
        <v>1240</v>
      </c>
      <c r="Z12" s="20" t="n">
        <v>1368</v>
      </c>
      <c r="AA12" s="20" t="n">
        <v>1238</v>
      </c>
      <c r="AB12" s="20" t="n">
        <v>1450</v>
      </c>
      <c r="AC12" s="20" t="n">
        <v>1315</v>
      </c>
      <c r="AD12" s="20" t="n">
        <v>1584</v>
      </c>
      <c r="AE12" s="20" t="n">
        <v>1228</v>
      </c>
      <c r="AF12" s="20" t="n">
        <v>1568</v>
      </c>
      <c r="AG12" s="20" t="n">
        <v>1367</v>
      </c>
      <c r="AH12" s="20" t="n">
        <v>1336</v>
      </c>
      <c r="AI12" s="20" t="n">
        <v>1479</v>
      </c>
      <c r="AJ12" s="20" t="n">
        <v>1186</v>
      </c>
      <c r="AK12" s="20" t="n">
        <v>1448</v>
      </c>
      <c r="AL12" s="20" t="n">
        <v>1358</v>
      </c>
      <c r="AM12" s="20" t="n">
        <v>1293</v>
      </c>
      <c r="AN12" s="20" t="n">
        <v>1449</v>
      </c>
      <c r="AO12" s="20" t="n">
        <v>1394</v>
      </c>
      <c r="AP12" s="20" t="n">
        <v>1527</v>
      </c>
      <c r="AQ12" s="20" t="n">
        <v>1209</v>
      </c>
      <c r="AR12" s="20" t="n">
        <v>1463</v>
      </c>
      <c r="AS12" s="20" t="n">
        <v>1295</v>
      </c>
      <c r="AT12" s="20" t="n">
        <v>1338</v>
      </c>
      <c r="AU12" s="20" t="n">
        <v>1294</v>
      </c>
      <c r="AV12" s="20" t="n">
        <v>1399</v>
      </c>
      <c r="AW12" s="20" t="n">
        <v>1523</v>
      </c>
      <c r="AX12" s="20" t="n">
        <v>1723</v>
      </c>
      <c r="AY12" s="20" t="n">
        <v>1694</v>
      </c>
      <c r="AZ12" s="20" t="n">
        <v>1894</v>
      </c>
      <c r="BA12" s="20" t="n">
        <v>1914</v>
      </c>
      <c r="BB12" s="20" t="n">
        <v>2055</v>
      </c>
      <c r="BC12" s="20" t="n">
        <v>1479</v>
      </c>
      <c r="BD12" s="20" t="n">
        <v>1774</v>
      </c>
      <c r="BE12" s="20" t="n">
        <v>1780</v>
      </c>
      <c r="BF12" s="20" t="n">
        <v>1672</v>
      </c>
      <c r="BG12" s="20" t="n">
        <v>1725</v>
      </c>
      <c r="BH12" s="20" t="n">
        <v>1279.75</v>
      </c>
      <c r="BI12" s="20" t="n">
        <v>1384.333333333333</v>
      </c>
      <c r="BJ12" s="20" t="n">
        <v>1442.333333333333</v>
      </c>
      <c r="BK12" s="20" t="n">
        <v>1786.625</v>
      </c>
      <c r="BL12" s="20" t="n">
        <v>1747.5</v>
      </c>
      <c r="BM12" s="20" t="n">
        <v>0</v>
      </c>
      <c r="BN12" s="20" t="n">
        <v>0</v>
      </c>
      <c r="BO12" s="20" t="n">
        <v>0</v>
      </c>
      <c r="BP12" s="20" t="n">
        <v>0</v>
      </c>
      <c r="BQ12" s="20" t="n">
        <v>0</v>
      </c>
      <c r="BR12" s="20" t="n">
        <v>0</v>
      </c>
      <c r="BS12" s="20" t="n">
        <v>0</v>
      </c>
      <c r="BT12" s="20" t="n">
        <v>0</v>
      </c>
      <c r="BU12" s="20" t="n">
        <v>0</v>
      </c>
      <c r="BV12" s="20" t="n">
        <v>0</v>
      </c>
      <c r="BW12" s="20" t="n">
        <v>0</v>
      </c>
      <c r="BX12" s="20" t="n">
        <v>0</v>
      </c>
      <c r="BY12" s="20" t="n">
        <v>-6000</v>
      </c>
      <c r="BZ12" s="20" t="n">
        <v>0</v>
      </c>
      <c r="CA12" s="20" t="n">
        <v>0</v>
      </c>
      <c r="CB12" s="20" t="n">
        <v>-6500</v>
      </c>
      <c r="CC12" s="20" t="n">
        <v>-22500</v>
      </c>
      <c r="CD12" s="20" t="n">
        <v>-29500</v>
      </c>
      <c r="CE12" s="20" t="n">
        <v>0</v>
      </c>
      <c r="CF12" s="20" t="n">
        <v>0</v>
      </c>
      <c r="CG12" s="20" t="n">
        <v>0</v>
      </c>
      <c r="CH12" s="20" t="n">
        <v>0</v>
      </c>
      <c r="CI12" s="20" t="n">
        <v>0</v>
      </c>
      <c r="CJ12" s="20" t="n">
        <v>0</v>
      </c>
      <c r="CK12" s="20" t="n">
        <v>0</v>
      </c>
      <c r="CL12" s="20" t="n">
        <v>0</v>
      </c>
      <c r="CM12" s="20" t="n">
        <v>0</v>
      </c>
      <c r="CN12" s="20" t="n">
        <v>0</v>
      </c>
      <c r="CO12" s="20" t="n">
        <v>0</v>
      </c>
      <c r="CP12" s="20" t="n">
        <v>0</v>
      </c>
      <c r="CQ12" s="20" t="n">
        <v>0</v>
      </c>
      <c r="CR12" s="20" t="n">
        <v>0</v>
      </c>
      <c r="CS12" s="20" t="n">
        <v>0</v>
      </c>
      <c r="CT12" s="20" t="n">
        <v>0</v>
      </c>
      <c r="CU12" s="20" t="n">
        <v>0</v>
      </c>
      <c r="CV12" s="20" t="n">
        <v>0</v>
      </c>
      <c r="CW12" s="20" t="n">
        <v>0</v>
      </c>
      <c r="CX12" s="20" t="n">
        <v>0</v>
      </c>
      <c r="CY12" s="20" t="n">
        <v>0</v>
      </c>
      <c r="CZ12" s="20" t="n">
        <v>0</v>
      </c>
      <c r="DA12" s="20" t="n">
        <v>0</v>
      </c>
      <c r="DB12" s="20" t="n">
        <v>0</v>
      </c>
      <c r="DC12" s="20" t="n">
        <v>0</v>
      </c>
      <c r="DD12" t="n">
        <v>0</v>
      </c>
      <c r="DE12" t="n">
        <v>0</v>
      </c>
      <c r="DF12" t="n">
        <v>-64500</v>
      </c>
      <c r="DG12" t="n">
        <v>0</v>
      </c>
      <c r="DH12" t="n">
        <v>0</v>
      </c>
      <c r="DI12" t="n">
        <v>0</v>
      </c>
      <c r="DK12" t="inlineStr">
        <is>
          <t>Barbom</t>
        </is>
      </c>
    </row>
    <row r="13">
      <c r="A13" s="1" t="n">
        <v>2</v>
      </c>
      <c r="B13" t="inlineStr">
        <is>
          <t>Service01</t>
        </is>
      </c>
      <c r="C13" t="inlineStr">
        <is>
          <t>installation</t>
        </is>
      </c>
      <c r="D13" t="inlineStr">
        <is>
          <t>ค่าติดตั้งช่าง</t>
        </is>
      </c>
      <c r="E13" t="inlineStr">
        <is>
          <t>ค่าติดตั้งช่าง</t>
        </is>
      </c>
      <c r="F13" t="inlineStr">
        <is>
          <t>ค่าติดตั้งช่าง</t>
        </is>
      </c>
      <c r="G13" t="inlineStr">
        <is>
          <t>ค่าบริการและติดตั้ง</t>
        </is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/>
      <c r="N13" s="20" t="n"/>
      <c r="O13" s="171" t="n"/>
      <c r="P13" s="20" t="n">
        <v>362</v>
      </c>
      <c r="Q13" s="20" t="n">
        <v>423</v>
      </c>
      <c r="R13" s="20" t="n">
        <v>485</v>
      </c>
      <c r="S13" s="20" t="n">
        <v>414</v>
      </c>
      <c r="T13" s="20" t="n">
        <v>423</v>
      </c>
      <c r="U13" s="20" t="n">
        <v>449</v>
      </c>
      <c r="V13" s="20" t="n">
        <v>425</v>
      </c>
      <c r="W13" s="20" t="n">
        <v>453</v>
      </c>
      <c r="X13" s="20" t="n">
        <v>471</v>
      </c>
      <c r="Y13" s="20" t="n">
        <v>427</v>
      </c>
      <c r="Z13" s="20" t="n">
        <v>429</v>
      </c>
      <c r="AA13" s="20" t="n">
        <v>503</v>
      </c>
      <c r="AB13" s="20" t="n">
        <v>444</v>
      </c>
      <c r="AC13" s="20" t="n">
        <v>386</v>
      </c>
      <c r="AD13" s="20" t="n">
        <v>456</v>
      </c>
      <c r="AE13" s="20" t="n">
        <v>374</v>
      </c>
      <c r="AF13" s="20" t="n">
        <v>415</v>
      </c>
      <c r="AG13" s="20" t="n">
        <v>358</v>
      </c>
      <c r="AH13" s="20" t="n">
        <v>430</v>
      </c>
      <c r="AI13" s="20" t="n">
        <v>417</v>
      </c>
      <c r="AJ13" s="20" t="n">
        <v>349</v>
      </c>
      <c r="AK13" s="20" t="n">
        <v>481</v>
      </c>
      <c r="AL13" s="20" t="n">
        <v>415</v>
      </c>
      <c r="AM13" s="20" t="n">
        <v>433</v>
      </c>
      <c r="AN13" s="20" t="n">
        <v>429</v>
      </c>
      <c r="AO13" s="20" t="n">
        <v>351</v>
      </c>
      <c r="AP13" s="20" t="n">
        <v>435</v>
      </c>
      <c r="AQ13" s="20" t="n">
        <v>382</v>
      </c>
      <c r="AR13" s="20" t="n">
        <v>348</v>
      </c>
      <c r="AS13" s="20" t="n">
        <v>374</v>
      </c>
      <c r="AT13" s="20" t="n">
        <v>384</v>
      </c>
      <c r="AU13" s="20" t="n">
        <v>376</v>
      </c>
      <c r="AV13" s="20" t="n">
        <v>374</v>
      </c>
      <c r="AW13" s="20" t="n">
        <v>475</v>
      </c>
      <c r="AX13" s="20" t="n">
        <v>407</v>
      </c>
      <c r="AY13" s="20" t="n">
        <v>510</v>
      </c>
      <c r="AZ13" s="20" t="n">
        <v>424</v>
      </c>
      <c r="BA13" s="20" t="n">
        <v>470</v>
      </c>
      <c r="BB13" s="20" t="n">
        <v>428</v>
      </c>
      <c r="BC13" s="20" t="n">
        <v>377</v>
      </c>
      <c r="BD13" s="20" t="n">
        <v>416</v>
      </c>
      <c r="BE13" s="20" t="n">
        <v>428</v>
      </c>
      <c r="BF13" s="20" t="n">
        <v>416</v>
      </c>
      <c r="BG13" s="20" t="n">
        <v>418</v>
      </c>
      <c r="BH13" s="20" t="n">
        <v>438.6666666666667</v>
      </c>
      <c r="BI13" s="20" t="n">
        <v>413.1666666666667</v>
      </c>
      <c r="BJ13" s="20" t="n">
        <v>403.75</v>
      </c>
      <c r="BK13" s="20" t="n">
        <v>422.125</v>
      </c>
      <c r="BL13" s="20" t="n">
        <v>413.8333333333333</v>
      </c>
      <c r="BM13" s="20" t="n">
        <v>126490</v>
      </c>
      <c r="BN13" s="20" t="n">
        <v>155610</v>
      </c>
      <c r="BO13" s="20" t="n">
        <v>167457</v>
      </c>
      <c r="BP13" s="20" t="n">
        <v>153500</v>
      </c>
      <c r="BQ13" s="20" t="n">
        <v>156400</v>
      </c>
      <c r="BR13" s="20" t="n">
        <v>180210</v>
      </c>
      <c r="BS13" s="20" t="n">
        <v>167190</v>
      </c>
      <c r="BT13" s="20" t="n">
        <v>176310</v>
      </c>
      <c r="BU13" s="20" t="n">
        <v>184280</v>
      </c>
      <c r="BV13" s="20" t="n">
        <v>174910</v>
      </c>
      <c r="BW13" s="20" t="n">
        <v>171791</v>
      </c>
      <c r="BX13" s="20" t="n">
        <v>188540</v>
      </c>
      <c r="BY13" s="20" t="n">
        <v>0</v>
      </c>
      <c r="BZ13" s="20" t="n">
        <v>0</v>
      </c>
      <c r="CA13" s="20" t="n">
        <v>0</v>
      </c>
      <c r="CB13" s="20" t="n">
        <v>0</v>
      </c>
      <c r="CC13" s="20" t="n">
        <v>0</v>
      </c>
      <c r="CD13" s="20" t="n">
        <v>0</v>
      </c>
      <c r="CE13" s="20" t="n">
        <v>0</v>
      </c>
      <c r="CF13" s="20" t="n">
        <v>0</v>
      </c>
      <c r="CG13" s="20" t="n">
        <v>0</v>
      </c>
      <c r="CH13" s="20" t="n">
        <v>0</v>
      </c>
      <c r="CI13" s="20" t="n">
        <v>0</v>
      </c>
      <c r="CJ13" s="20" t="n">
        <v>0</v>
      </c>
      <c r="CK13" s="20" t="n">
        <v>172560</v>
      </c>
      <c r="CL13" s="20" t="n">
        <v>139690</v>
      </c>
      <c r="CM13" s="20" t="n">
        <v>191520</v>
      </c>
      <c r="CN13" s="20" t="n">
        <v>148020</v>
      </c>
      <c r="CO13" s="20" t="n">
        <v>159150</v>
      </c>
      <c r="CP13" s="20" t="n">
        <v>159840</v>
      </c>
      <c r="CQ13" s="20" t="n">
        <v>164220</v>
      </c>
      <c r="CR13" s="20" t="n">
        <v>148670</v>
      </c>
      <c r="CS13" s="20" t="n">
        <v>158030</v>
      </c>
      <c r="CT13" s="20" t="n">
        <v>198891</v>
      </c>
      <c r="CU13" s="20" t="n">
        <v>190180</v>
      </c>
      <c r="CV13" s="20" t="n">
        <v>220140</v>
      </c>
      <c r="CW13" s="20" t="n">
        <v>186090</v>
      </c>
      <c r="CX13" s="20" t="n">
        <v>226340</v>
      </c>
      <c r="CY13" s="20" t="n">
        <v>196270</v>
      </c>
      <c r="CZ13" s="20" t="n">
        <v>186105</v>
      </c>
      <c r="DA13" s="20" t="n">
        <v>184250</v>
      </c>
      <c r="DB13" s="20" t="n">
        <v>197290</v>
      </c>
      <c r="DC13" s="20" t="n">
        <v>198100</v>
      </c>
      <c r="DD13" t="n">
        <v>215460</v>
      </c>
      <c r="DE13" t="n">
        <v>2002688</v>
      </c>
      <c r="DF13" t="n">
        <v>0</v>
      </c>
      <c r="DG13" t="n">
        <v>2050911</v>
      </c>
      <c r="DH13" t="n">
        <v>1589905</v>
      </c>
      <c r="DI13" t="n">
        <v>1177475</v>
      </c>
      <c r="DK13" t="inlineStr">
        <is>
          <t>Barbom</t>
        </is>
      </c>
    </row>
  </sheetData>
  <autoFilter ref="A11:DI2373"/>
  <mergeCells count="17">
    <mergeCell ref="CW10:DD10"/>
    <mergeCell ref="K1:P1"/>
    <mergeCell ref="B7:C7"/>
    <mergeCell ref="S1:X1"/>
    <mergeCell ref="B1:D1"/>
    <mergeCell ref="AB10:AM10"/>
    <mergeCell ref="P10:AA10"/>
    <mergeCell ref="BY10:CJ10"/>
    <mergeCell ref="AZ10:BG10"/>
    <mergeCell ref="BM10:BX10"/>
    <mergeCell ref="BH10:BL10"/>
    <mergeCell ref="CK10:CV10"/>
    <mergeCell ref="I1:I2"/>
    <mergeCell ref="AN10:AY10"/>
    <mergeCell ref="B8:C8"/>
    <mergeCell ref="J1:J2"/>
    <mergeCell ref="H1:H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TRC-MKT-LIW-02</dc:creator>
  <dcterms:created xmlns:dcterms="http://purl.org/dc/terms/" xmlns:xsi="http://www.w3.org/2001/XMLSchema-instance" xsi:type="dcterms:W3CDTF">2019-07-31T11:10:51Z</dcterms:created>
  <dcterms:modified xmlns:dcterms="http://purl.org/dc/terms/" xmlns:xsi="http://www.w3.org/2001/XMLSchema-instance" xsi:type="dcterms:W3CDTF">2026-10-23T09:00:52Z</dcterms:modified>
  <cp:lastModifiedBy>TRC-HQMKT-003</cp:lastModifiedBy>
  <cp:lastPrinted>2025-12-09T10:15:34Z</cp:lastPrinted>
</cp:coreProperties>
</file>